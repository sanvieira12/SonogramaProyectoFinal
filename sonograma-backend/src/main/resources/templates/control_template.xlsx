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0c9e13297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ef5bf73b4a3544f8"/>
    <x:sheet xmlns:r="http://schemas.openxmlformats.org/officeDocument/2006/relationships" name="Summary" sheetId="2" r:id="Ra4b66f81408d413f"/>
    <x:sheet xmlns:r="http://schemas.openxmlformats.org/officeDocument/2006/relationships" name="Raw Extract" sheetId="3" r:id="Rc62f220e011e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€#,##0.00"/>
    <x:numFmt numFmtId="201" formatCode="0"/>
    <x:numFmt numFmtId="202" formatCode="0.00"/>
    <x:numFmt numFmtId="203" formatCode="$U #,##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5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FFFFFF"/>
      </x:patternFill>
    </x:fill>
    <x:fill>
      <x:patternFill patternType="solid">
        <x:fgColor rgb="FFF7ED"/>
      </x:patternFill>
    </x:fill>
  </x:fills>
  <x:borders count="20">
    <x:border/>
    <x:border/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  <x:xf numFmtId="202" fontId="0" fillId="6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/>
    </x:xf>
    <x:xf numFmtId="202" fontId="0" fillId="6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200" fontId="0" fillId="5" borderId="6" xfId="0" applyNumberFormat="1" applyFont="1" applyFill="1" applyBorder="1" applyAlignment="1">
      <x:alignment vertical="center"/>
    </x:xf>
    <x:xf numFmtId="201" fontId="0" fillId="5" borderId="6" xfId="0" applyNumberFormat="1" applyFont="1" applyFill="1" applyBorder="1" applyAlignment="1">
      <x:alignment vertical="center"/>
    </x:xf>
    <x:xf numFmtId="202" fontId="0" fillId="6" borderId="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2" fillId="3" borderId="14" xfId="0" applyNumberFormat="1" applyFont="1" applyFill="1" applyBorder="1" applyAlignment="1">
      <x:alignment vertical="center"/>
    </x:xf>
    <x:xf numFmtId="0" fontId="2" fillId="3" borderId="15" xfId="0" applyNumberFormat="1" applyFont="1" applyFill="1" applyBorder="1" applyAlignment="1">
      <x:alignment vertical="center"/>
    </x:xf>
    <x:xf numFmtId="0" fontId="3" fillId="4" borderId="14" xfId="0" applyNumberFormat="1" applyFont="1" applyFill="1" applyBorder="1" applyAlignment="1">
      <x:alignment vertical="center"/>
    </x:xf>
    <x:xf numFmtId="0" fontId="0" fillId="5" borderId="15" xfId="0" applyNumberFormat="1" applyFont="1" applyFill="1" applyBorder="1" applyAlignment="1">
      <x:alignment vertical="center"/>
    </x:xf>
    <x:xf numFmtId="200" fontId="0" fillId="5" borderId="15" xfId="0" applyNumberFormat="1" applyFont="1" applyFill="1" applyBorder="1" applyAlignment="1">
      <x:alignment vertical="center"/>
    </x:xf>
    <x:xf numFmtId="201" fontId="0" fillId="5" borderId="15" xfId="0" applyNumberFormat="1" applyFont="1" applyFill="1" applyBorder="1" applyAlignment="1">
      <x:alignment vertical="center"/>
    </x:xf>
    <x:xf numFmtId="202" fontId="0" fillId="6" borderId="15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3" fontId="0" fillId="0" borderId="6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3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3" fontId="0" fillId="0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3" fontId="0" fillId="0" borderId="15" xfId="0" applyNumberFormat="1" applyFont="1" applyFill="1" applyBorder="1" applyAlignment="1">
      <x:alignment vertical="top" wrapText="1"/>
    </x:xf>
    <x:xf numFmtId="202" fontId="0" fillId="0" borderId="15" xfId="0" applyNumberFormat="1" applyFont="1" applyFill="1" applyBorder="1" applyAlignment="1">
      <x:alignment vertical="top" wrapText="1"/>
    </x:xf>
    <x:xf numFmtId="203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3" fontId="0" fillId="0" borderId="18" xfId="0" applyNumberFormat="1" applyFont="1" applyFill="1" applyBorder="1" applyAlignment="1">
      <x:alignment vertical="top" wrapText="1"/>
    </x:xf>
    <x:xf numFmtId="202" fontId="0" fillId="0" borderId="18" xfId="0" applyNumberFormat="1" applyFont="1" applyFill="1" applyBorder="1" applyAlignment="1">
      <x:alignment vertical="top" wrapText="1"/>
    </x:xf>
    <x:xf numFmtId="203" fontId="0" fillId="0" borderId="19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9799e79e94cf5" /><Relationship Type="http://schemas.openxmlformats.org/officeDocument/2006/relationships/theme" Target="/xl/theme/theme1.xml" Id="R25602cbffd61433e" /><Relationship Type="http://schemas.openxmlformats.org/officeDocument/2006/relationships/sharedStrings" Target="/xl/sharedStrings.xml" Id="R0c46a0d57f544881" /><Relationship Type="http://schemas.openxmlformats.org/officeDocument/2006/relationships/worksheet" Target="/xl/worksheets/sheet1.xml" Id="Ref5bf73b4a3544f8" /><Relationship Type="http://schemas.openxmlformats.org/officeDocument/2006/relationships/worksheet" Target="/xl/worksheets/sheet2.xml" Id="Ra4b66f81408d413f" /><Relationship Type="http://schemas.openxmlformats.org/officeDocument/2006/relationships/worksheet" Target="/xl/worksheets/sheet3.xml" Id="Rc62f220e011e4608" /></Relationships>
</file>

<file path=xl/tables/table1.xml><?xml version="1.0" encoding="utf-8"?>
<x:table xmlns:x="http://schemas.openxmlformats.org/spreadsheetml/2006/main" id="1" name="ItemsTable" displayName="ItemsTable" ref="A1:S501" headerRowCount="1">
  <x:tableColumns count="19">
    <x:tableColumn id="1" name="Order"/>
    <x:tableColumn id="2" name="Page"/>
    <x:tableColumn id="3" name="Line"/>
    <x:tableColumn id="4" name="Notes"/>
    <x:tableColumn id="5" name="Reserved"/>
    <x:tableColumn id="6" name="Status"/>
    <x:tableColumn id="7" name="Artist"/>
    <x:tableColumn id="8" name="Title"/>
    <x:tableColumn id="9" name="Format"/>
    <x:tableColumn id="10" name="Code / SKU"/>
    <x:tableColumn id="11" name="Unit Price EUR"/>
    <x:tableColumn id="12" name="Quantity"/>
    <x:tableColumn id="13" name="Total EUR"/>
    <x:tableColumn id="14" name="Type"/>
    <x:tableColumn id="15" name="Extra Cost EUR"/>
    <x:tableColumn id="16" name="Real Unit Cost EUR"/>
    <x:tableColumn id="17" name="Real Unit Cost UYU"/>
    <x:tableColumn id="18" name="Markup"/>
    <x:tableColumn id="19" name="Final Unit Price UY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87eb4e4ad54b8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18" hidden="0" customWidth="1"/>
    <x:col min="5" max="5" width="10" hidden="0" customWidth="1"/>
    <x:col min="6" max="6" width="12" hidden="0" customWidth="1"/>
    <x:col min="7" max="7" width="24" hidden="0" customWidth="1"/>
    <x:col min="8" max="8" width="36" hidden="0" customWidth="1"/>
    <x:col min="9" max="9" width="14" hidden="0" customWidth="1"/>
    <x:col min="10" max="10" width="18" hidden="0" customWidth="1"/>
    <x:col min="11" max="11" width="14" hidden="0" customWidth="1"/>
    <x:col min="12" max="12" width="10" hidden="0" customWidth="1"/>
    <x:col min="13" max="13" width="14" hidden="0" customWidth="1"/>
    <x:col min="14" max="14" width="12" hidden="0" customWidth="1"/>
    <x:col min="15" max="15" width="16" hidden="0" customWidth="1"/>
    <x:col min="16" max="16" width="17" hidden="0" customWidth="1"/>
    <x:col min="17" max="17" width="18" hidden="0" customWidth="1"/>
    <x:col min="18" max="18" width="10" hidden="0" customWidth="1"/>
    <x:col min="19" max="19" width="20" hidden="0" customWidth="1"/>
  </x:cols>
  <x:sheetData>
    <x:row r="1" ht="32" customHeight="1">
      <x:c r="A1" s="104" t="str">
        <x:v>Order</x:v>
      </x:c>
      <x:c r="B1" s="105" t="str">
        <x:v>Page</x:v>
      </x:c>
      <x:c r="C1" s="105" t="str">
        <x:v>Line</x:v>
      </x:c>
      <x:c r="D1" s="105" t="str">
        <x:v>Notes</x:v>
      </x:c>
      <x:c r="E1" s="105" t="str">
        <x:v>Reserved</x:v>
      </x:c>
      <x:c r="F1" s="105" t="str">
        <x:v>Status</x:v>
      </x:c>
      <x:c r="G1" s="105" t="str">
        <x:v>Artist</x:v>
      </x:c>
      <x:c r="H1" s="105" t="str">
        <x:v>Title</x:v>
      </x:c>
      <x:c r="I1" s="105" t="str">
        <x:v>Format</x:v>
      </x:c>
      <x:c r="J1" s="105" t="str">
        <x:v>Code / SKU</x:v>
      </x:c>
      <x:c r="K1" s="105" t="str">
        <x:v>Unit Price EUR</x:v>
      </x:c>
      <x:c r="L1" s="105" t="str">
        <x:v>Quantity</x:v>
      </x:c>
      <x:c r="M1" s="105" t="str">
        <x:v>Total EUR</x:v>
      </x:c>
      <x:c r="N1" s="105" t="str">
        <x:v>Type</x:v>
      </x:c>
      <x:c r="O1" s="105" t="str">
        <x:v>Extra Cost EUR</x:v>
      </x:c>
      <x:c r="P1" s="105" t="str">
        <x:v>Real Unit Cost EUR</x:v>
      </x:c>
      <x:c r="Q1" s="105" t="str">
        <x:v>Real Unit Cost UYU</x:v>
      </x:c>
      <x:c r="R1" s="105" t="str">
        <x:v>Markup</x:v>
      </x:c>
      <x:c r="S1" s="106" t="str">
        <x:v>Final Unit Price UYU</x:v>
      </x:c>
    </x:row>
    <x:row r="2">
      <x:c r="A2" s="107"/>
      <x:c r="B2" s="108"/>
      <x:c r="C2" s="108"/>
      <x:c r="D2" s="108"/>
      <x:c r="E2" s="108"/>
      <x:c r="F2" s="108"/>
      <x:c r="G2" s="108"/>
      <x:c r="H2" s="108"/>
      <x:c r="I2" s="108"/>
      <x:c r="J2" s="108"/>
      <x:c r="K2" s="109"/>
      <x:c r="L2" s="110"/>
      <x:c r="M2" s="109" t="str">
        <x:f>IF(OR(K2="",L2=""),"",K2*L2)</x:f>
      </x:c>
      <x:c r="N2" s="108" t="str">
        <x:f>IF(I2="","Single",IF(LEFT(I2,2)="2x","Double","Single"))</x:f>
        <x:v>Single</x:v>
      </x:c>
      <x:c r="O2" s="109" t="n">
        <x:f>IF(N2="","",IF(N2="Double",Summary!$B$37,Summary!$B$36))</x:f>
        <x:v>5</x:v>
      </x:c>
      <x:c r="P2" s="109" t="str">
        <x:f>IF(K2="","",K2+O2)</x:f>
      </x:c>
      <x:c r="Q2" s="111" t="str">
        <x:f>IF(P2="","",P2*Summary!$B$35)</x:f>
      </x:c>
      <x:c r="R2" s="112" t="n">
        <x:f>IF(N2="","",IF(N2="Double",Summary!$B$39,Summary!$B$38))</x:f>
        <x:v>1.6</x:v>
      </x:c>
      <x:c r="S2" s="113" t="str">
        <x:f>IF(Q2="","",Q2*R2)</x:f>
      </x:c>
    </x:row>
    <x:row r="3">
      <x:c r="A3" s="107"/>
      <x:c r="B3" s="108"/>
      <x:c r="C3" s="108"/>
      <x:c r="D3" s="108"/>
      <x:c r="E3" s="108"/>
      <x:c r="F3" s="108"/>
      <x:c r="G3" s="108"/>
      <x:c r="H3" s="108"/>
      <x:c r="I3" s="108"/>
      <x:c r="J3" s="108"/>
      <x:c r="K3" s="109"/>
      <x:c r="L3" s="110"/>
      <x:c r="M3" s="109" t="str">
        <x:f>IF(OR(K3="",L3=""),"",K3*L3)</x:f>
      </x:c>
      <x:c r="N3" s="108" t="str">
        <x:f>IF(I3="","Single",IF(LEFT(I3,2)="2x","Double","Single"))</x:f>
        <x:v>Single</x:v>
      </x:c>
      <x:c r="O3" s="109" t="n">
        <x:f>IF(N3="","",IF(N3="Double",Summary!$B$37,Summary!$B$36))</x:f>
        <x:v>5</x:v>
      </x:c>
      <x:c r="P3" s="109" t="str">
        <x:f>IF(K3="","",K3+O3)</x:f>
      </x:c>
      <x:c r="Q3" s="111" t="str">
        <x:f>IF(P3="","",P3*Summary!$B$35)</x:f>
      </x:c>
      <x:c r="R3" s="112" t="n">
        <x:f>IF(N3="","",IF(N3="Double",Summary!$B$39,Summary!$B$38))</x:f>
        <x:v>1.6</x:v>
      </x:c>
      <x:c r="S3" s="113" t="str">
        <x:f>IF(Q3="","",Q3*R3)</x:f>
      </x:c>
    </x:row>
    <x:row r="4">
      <x:c r="A4" s="107"/>
      <x:c r="B4" s="108"/>
      <x:c r="C4" s="108"/>
      <x:c r="D4" s="108"/>
      <x:c r="E4" s="108"/>
      <x:c r="F4" s="108"/>
      <x:c r="G4" s="108"/>
      <x:c r="H4" s="108"/>
      <x:c r="I4" s="108"/>
      <x:c r="J4" s="108"/>
      <x:c r="K4" s="109"/>
      <x:c r="L4" s="110"/>
      <x:c r="M4" s="109" t="str">
        <x:f>IF(OR(K4="",L4=""),"",K4*L4)</x:f>
      </x:c>
      <x:c r="N4" s="108" t="str">
        <x:f>IF(I4="","Single",IF(LEFT(I4,2)="2x","Double","Single"))</x:f>
        <x:v>Single</x:v>
      </x:c>
      <x:c r="O4" s="109" t="n">
        <x:f>IF(N4="","",IF(N4="Double",Summary!$B$37,Summary!$B$36))</x:f>
        <x:v>5</x:v>
      </x:c>
      <x:c r="P4" s="109" t="str">
        <x:f>IF(K4="","",K4+O4)</x:f>
      </x:c>
      <x:c r="Q4" s="111" t="str">
        <x:f>IF(P4="","",P4*Summary!$B$35)</x:f>
      </x:c>
      <x:c r="R4" s="112" t="n">
        <x:f>IF(N4="","",IF(N4="Double",Summary!$B$39,Summary!$B$38))</x:f>
        <x:v>1.6</x:v>
      </x:c>
      <x:c r="S4" s="113" t="str">
        <x:f>IF(Q4="","",Q4*R4)</x:f>
      </x:c>
    </x:row>
    <x:row r="5">
      <x:c r="A5" s="107"/>
      <x:c r="B5" s="108"/>
      <x:c r="C5" s="108"/>
      <x:c r="D5" s="108"/>
      <x:c r="E5" s="108"/>
      <x:c r="F5" s="108"/>
      <x:c r="G5" s="108"/>
      <x:c r="H5" s="108"/>
      <x:c r="I5" s="108"/>
      <x:c r="J5" s="108"/>
      <x:c r="K5" s="109"/>
      <x:c r="L5" s="110"/>
      <x:c r="M5" s="109" t="str">
        <x:f>IF(OR(K5="",L5=""),"",K5*L5)</x:f>
      </x:c>
      <x:c r="N5" s="108" t="str">
        <x:f>IF(I5="","Single",IF(LEFT(I5,2)="2x","Double","Single"))</x:f>
        <x:v>Single</x:v>
      </x:c>
      <x:c r="O5" s="109" t="n">
        <x:f>IF(N5="","",IF(N5="Double",Summary!$B$37,Summary!$B$36))</x:f>
        <x:v>5</x:v>
      </x:c>
      <x:c r="P5" s="109" t="str">
        <x:f>IF(K5="","",K5+O5)</x:f>
      </x:c>
      <x:c r="Q5" s="111" t="str">
        <x:f>IF(P5="","",P5*Summary!$B$35)</x:f>
      </x:c>
      <x:c r="R5" s="112" t="n">
        <x:f>IF(N5="","",IF(N5="Double",Summary!$B$39,Summary!$B$38))</x:f>
        <x:v>1.6</x:v>
      </x:c>
      <x:c r="S5" s="113" t="str">
        <x:f>IF(Q5="","",Q5*R5)</x:f>
      </x:c>
    </x:row>
    <x:row r="6">
      <x:c r="A6" s="107"/>
      <x:c r="B6" s="108"/>
      <x:c r="C6" s="108"/>
      <x:c r="D6" s="108"/>
      <x:c r="E6" s="108"/>
      <x:c r="F6" s="108"/>
      <x:c r="G6" s="108"/>
      <x:c r="H6" s="108"/>
      <x:c r="I6" s="108"/>
      <x:c r="J6" s="108"/>
      <x:c r="K6" s="109"/>
      <x:c r="L6" s="110"/>
      <x:c r="M6" s="109" t="str">
        <x:f>IF(OR(K6="",L6=""),"",K6*L6)</x:f>
      </x:c>
      <x:c r="N6" s="108" t="str">
        <x:f>IF(I6="","Single",IF(LEFT(I6,2)="2x","Double","Single"))</x:f>
        <x:v>Single</x:v>
      </x:c>
      <x:c r="O6" s="109" t="n">
        <x:f>IF(N6="","",IF(N6="Double",Summary!$B$37,Summary!$B$36))</x:f>
        <x:v>5</x:v>
      </x:c>
      <x:c r="P6" s="109" t="str">
        <x:f>IF(K6="","",K6+O6)</x:f>
      </x:c>
      <x:c r="Q6" s="111" t="str">
        <x:f>IF(P6="","",P6*Summary!$B$35)</x:f>
      </x:c>
      <x:c r="R6" s="112" t="n">
        <x:f>IF(N6="","",IF(N6="Double",Summary!$B$39,Summary!$B$38))</x:f>
        <x:v>1.6</x:v>
      </x:c>
      <x:c r="S6" s="113" t="str">
        <x:f>IF(Q6="","",Q6*R6)</x:f>
      </x:c>
    </x:row>
    <x:row r="7">
      <x:c r="A7" s="107"/>
      <x:c r="B7" s="108"/>
      <x:c r="C7" s="108"/>
      <x:c r="D7" s="108"/>
      <x:c r="E7" s="108"/>
      <x:c r="F7" s="108"/>
      <x:c r="G7" s="108"/>
      <x:c r="H7" s="108"/>
      <x:c r="I7" s="108"/>
      <x:c r="J7" s="108"/>
      <x:c r="K7" s="109"/>
      <x:c r="L7" s="110"/>
      <x:c r="M7" s="109" t="str">
        <x:f>IF(OR(K7="",L7=""),"",K7*L7)</x:f>
      </x:c>
      <x:c r="N7" s="108" t="str">
        <x:f>IF(I7="","Single",IF(LEFT(I7,2)="2x","Double","Single"))</x:f>
        <x:v>Single</x:v>
      </x:c>
      <x:c r="O7" s="109" t="n">
        <x:f>IF(N7="","",IF(N7="Double",Summary!$B$37,Summary!$B$36))</x:f>
        <x:v>5</x:v>
      </x:c>
      <x:c r="P7" s="109" t="str">
        <x:f>IF(K7="","",K7+O7)</x:f>
      </x:c>
      <x:c r="Q7" s="111" t="str">
        <x:f>IF(P7="","",P7*Summary!$B$35)</x:f>
      </x:c>
      <x:c r="R7" s="112" t="n">
        <x:f>IF(N7="","",IF(N7="Double",Summary!$B$39,Summary!$B$38))</x:f>
        <x:v>1.6</x:v>
      </x:c>
      <x:c r="S7" s="113" t="str">
        <x:f>IF(Q7="","",Q7*R7)</x:f>
      </x:c>
    </x:row>
    <x:row r="8">
      <x:c r="A8" s="107"/>
      <x:c r="B8" s="108"/>
      <x:c r="C8" s="108"/>
      <x:c r="D8" s="108"/>
      <x:c r="E8" s="108"/>
      <x:c r="F8" s="108"/>
      <x:c r="G8" s="108"/>
      <x:c r="H8" s="108"/>
      <x:c r="I8" s="108"/>
      <x:c r="J8" s="108"/>
      <x:c r="K8" s="109"/>
      <x:c r="L8" s="110"/>
      <x:c r="M8" s="109" t="str">
        <x:f>IF(OR(K8="",L8=""),"",K8*L8)</x:f>
      </x:c>
      <x:c r="N8" s="108" t="str">
        <x:f>IF(I8="","Single",IF(LEFT(I8,2)="2x","Double","Single"))</x:f>
        <x:v>Single</x:v>
      </x:c>
      <x:c r="O8" s="109" t="n">
        <x:f>IF(N8="","",IF(N8="Double",Summary!$B$37,Summary!$B$36))</x:f>
        <x:v>5</x:v>
      </x:c>
      <x:c r="P8" s="109" t="str">
        <x:f>IF(K8="","",K8+O8)</x:f>
      </x:c>
      <x:c r="Q8" s="111" t="str">
        <x:f>IF(P8="","",P8*Summary!$B$35)</x:f>
      </x:c>
      <x:c r="R8" s="112" t="n">
        <x:f>IF(N8="","",IF(N8="Double",Summary!$B$39,Summary!$B$38))</x:f>
        <x:v>1.6</x:v>
      </x:c>
      <x:c r="S8" s="113" t="str">
        <x:f>IF(Q8="","",Q8*R8)</x:f>
      </x:c>
    </x:row>
    <x:row r="9">
      <x:c r="A9" s="107"/>
      <x:c r="B9" s="108"/>
      <x:c r="C9" s="108"/>
      <x:c r="D9" s="108"/>
      <x:c r="E9" s="108"/>
      <x:c r="F9" s="108"/>
      <x:c r="G9" s="108"/>
      <x:c r="H9" s="108"/>
      <x:c r="I9" s="108"/>
      <x:c r="J9" s="108"/>
      <x:c r="K9" s="109"/>
      <x:c r="L9" s="110"/>
      <x:c r="M9" s="109" t="str">
        <x:f>IF(OR(K9="",L9=""),"",K9*L9)</x:f>
      </x:c>
      <x:c r="N9" s="108" t="str">
        <x:f>IF(I9="","Single",IF(LEFT(I9,2)="2x","Double","Single"))</x:f>
        <x:v>Single</x:v>
      </x:c>
      <x:c r="O9" s="109" t="n">
        <x:f>IF(N9="","",IF(N9="Double",Summary!$B$37,Summary!$B$36))</x:f>
        <x:v>5</x:v>
      </x:c>
      <x:c r="P9" s="109" t="str">
        <x:f>IF(K9="","",K9+O9)</x:f>
      </x:c>
      <x:c r="Q9" s="111" t="str">
        <x:f>IF(P9="","",P9*Summary!$B$35)</x:f>
      </x:c>
      <x:c r="R9" s="112" t="n">
        <x:f>IF(N9="","",IF(N9="Double",Summary!$B$39,Summary!$B$38))</x:f>
        <x:v>1.6</x:v>
      </x:c>
      <x:c r="S9" s="113" t="str">
        <x:f>IF(Q9="","",Q9*R9)</x:f>
      </x:c>
    </x:row>
    <x:row r="10">
      <x:c r="A10" s="107"/>
      <x:c r="B10" s="108"/>
      <x:c r="C10" s="108"/>
      <x:c r="D10" s="108"/>
      <x:c r="E10" s="108"/>
      <x:c r="F10" s="108"/>
      <x:c r="G10" s="108"/>
      <x:c r="H10" s="108"/>
      <x:c r="I10" s="108"/>
      <x:c r="J10" s="108"/>
      <x:c r="K10" s="109"/>
      <x:c r="L10" s="110"/>
      <x:c r="M10" s="109" t="str">
        <x:f>IF(OR(K10="",L10=""),"",K10*L10)</x:f>
      </x:c>
      <x:c r="N10" s="108" t="str">
        <x:f>IF(I10="","Single",IF(LEFT(I10,2)="2x","Double","Single"))</x:f>
        <x:v>Single</x:v>
      </x:c>
      <x:c r="O10" s="109" t="n">
        <x:f>IF(N10="","",IF(N10="Double",Summary!$B$37,Summary!$B$36))</x:f>
        <x:v>5</x:v>
      </x:c>
      <x:c r="P10" s="109" t="str">
        <x:f>IF(K10="","",K10+O10)</x:f>
      </x:c>
      <x:c r="Q10" s="111" t="str">
        <x:f>IF(P10="","",P10*Summary!$B$35)</x:f>
      </x:c>
      <x:c r="R10" s="112" t="n">
        <x:f>IF(N10="","",IF(N10="Double",Summary!$B$39,Summary!$B$38))</x:f>
        <x:v>1.6</x:v>
      </x:c>
      <x:c r="S10" s="113" t="str">
        <x:f>IF(Q10="","",Q10*R10)</x:f>
      </x:c>
    </x:row>
    <x:row r="11">
      <x:c r="A11" s="107"/>
      <x:c r="B11" s="108"/>
      <x:c r="C11" s="108"/>
      <x:c r="D11" s="108"/>
      <x:c r="E11" s="108"/>
      <x:c r="F11" s="108"/>
      <x:c r="G11" s="108"/>
      <x:c r="H11" s="108"/>
      <x:c r="I11" s="108"/>
      <x:c r="J11" s="108"/>
      <x:c r="K11" s="109"/>
      <x:c r="L11" s="110"/>
      <x:c r="M11" s="109" t="str">
        <x:f>IF(OR(K11="",L11=""),"",K11*L11)</x:f>
      </x:c>
      <x:c r="N11" s="108" t="str">
        <x:f>IF(I11="","Single",IF(LEFT(I11,2)="2x","Double","Single"))</x:f>
        <x:v>Single</x:v>
      </x:c>
      <x:c r="O11" s="109" t="n">
        <x:f>IF(N11="","",IF(N11="Double",Summary!$B$37,Summary!$B$36))</x:f>
        <x:v>5</x:v>
      </x:c>
      <x:c r="P11" s="109" t="str">
        <x:f>IF(K11="","",K11+O11)</x:f>
      </x:c>
      <x:c r="Q11" s="111" t="str">
        <x:f>IF(P11="","",P11*Summary!$B$35)</x:f>
      </x:c>
      <x:c r="R11" s="112" t="n">
        <x:f>IF(N11="","",IF(N11="Double",Summary!$B$39,Summary!$B$38))</x:f>
        <x:v>1.6</x:v>
      </x:c>
      <x:c r="S11" s="113" t="str">
        <x:f>IF(Q11="","",Q11*R11)</x:f>
      </x:c>
    </x:row>
    <x:row r="12">
      <x:c r="A12" s="107"/>
      <x:c r="B12" s="108"/>
      <x:c r="C12" s="108"/>
      <x:c r="D12" s="108"/>
      <x:c r="E12" s="108"/>
      <x:c r="F12" s="108"/>
      <x:c r="G12" s="108"/>
      <x:c r="H12" s="108"/>
      <x:c r="I12" s="108"/>
      <x:c r="J12" s="108"/>
      <x:c r="K12" s="109"/>
      <x:c r="L12" s="110"/>
      <x:c r="M12" s="109" t="str">
        <x:f>IF(OR(K12="",L12=""),"",K12*L12)</x:f>
      </x:c>
      <x:c r="N12" s="108" t="str">
        <x:f>IF(I12="","Single",IF(LEFT(I12,2)="2x","Double","Single"))</x:f>
        <x:v>Single</x:v>
      </x:c>
      <x:c r="O12" s="109" t="n">
        <x:f>IF(N12="","",IF(N12="Double",Summary!$B$37,Summary!$B$36))</x:f>
        <x:v>5</x:v>
      </x:c>
      <x:c r="P12" s="109" t="str">
        <x:f>IF(K12="","",K12+O12)</x:f>
      </x:c>
      <x:c r="Q12" s="111" t="str">
        <x:f>IF(P12="","",P12*Summary!$B$35)</x:f>
      </x:c>
      <x:c r="R12" s="112" t="n">
        <x:f>IF(N12="","",IF(N12="Double",Summary!$B$39,Summary!$B$38))</x:f>
        <x:v>1.6</x:v>
      </x:c>
      <x:c r="S12" s="113" t="str">
        <x:f>IF(Q12="","",Q12*R12)</x:f>
      </x:c>
    </x:row>
    <x:row r="13">
      <x:c r="A13" s="107"/>
      <x:c r="B13" s="108"/>
      <x:c r="C13" s="108"/>
      <x:c r="D13" s="108"/>
      <x:c r="E13" s="108"/>
      <x:c r="F13" s="108"/>
      <x:c r="G13" s="108"/>
      <x:c r="H13" s="108"/>
      <x:c r="I13" s="108"/>
      <x:c r="J13" s="108"/>
      <x:c r="K13" s="109"/>
      <x:c r="L13" s="110"/>
      <x:c r="M13" s="109" t="str">
        <x:f>IF(OR(K13="",L13=""),"",K13*L13)</x:f>
      </x:c>
      <x:c r="N13" s="108" t="str">
        <x:f>IF(I13="","Single",IF(LEFT(I13,2)="2x","Double","Single"))</x:f>
        <x:v>Single</x:v>
      </x:c>
      <x:c r="O13" s="109" t="n">
        <x:f>IF(N13="","",IF(N13="Double",Summary!$B$37,Summary!$B$36))</x:f>
        <x:v>5</x:v>
      </x:c>
      <x:c r="P13" s="109" t="str">
        <x:f>IF(K13="","",K13+O13)</x:f>
      </x:c>
      <x:c r="Q13" s="111" t="str">
        <x:f>IF(P13="","",P13*Summary!$B$35)</x:f>
      </x:c>
      <x:c r="R13" s="112" t="n">
        <x:f>IF(N13="","",IF(N13="Double",Summary!$B$39,Summary!$B$38))</x:f>
        <x:v>1.6</x:v>
      </x:c>
      <x:c r="S13" s="113" t="str">
        <x:f>IF(Q13="","",Q13*R13)</x:f>
      </x:c>
    </x:row>
    <x:row r="14">
      <x:c r="A14" s="107"/>
      <x:c r="B14" s="108"/>
      <x:c r="C14" s="108"/>
      <x:c r="D14" s="108"/>
      <x:c r="E14" s="108"/>
      <x:c r="F14" s="108"/>
      <x:c r="G14" s="108"/>
      <x:c r="H14" s="108"/>
      <x:c r="I14" s="108"/>
      <x:c r="J14" s="108"/>
      <x:c r="K14" s="109"/>
      <x:c r="L14" s="110"/>
      <x:c r="M14" s="109" t="str">
        <x:f>IF(OR(K14="",L14=""),"",K14*L14)</x:f>
      </x:c>
      <x:c r="N14" s="108" t="str">
        <x:f>IF(I14="","Single",IF(LEFT(I14,2)="2x","Double","Single"))</x:f>
        <x:v>Single</x:v>
      </x:c>
      <x:c r="O14" s="109" t="n">
        <x:f>IF(N14="","",IF(N14="Double",Summary!$B$37,Summary!$B$36))</x:f>
        <x:v>5</x:v>
      </x:c>
      <x:c r="P14" s="109" t="str">
        <x:f>IF(K14="","",K14+O14)</x:f>
      </x:c>
      <x:c r="Q14" s="111" t="str">
        <x:f>IF(P14="","",P14*Summary!$B$35)</x:f>
      </x:c>
      <x:c r="R14" s="112" t="n">
        <x:f>IF(N14="","",IF(N14="Double",Summary!$B$39,Summary!$B$38))</x:f>
        <x:v>1.6</x:v>
      </x:c>
      <x:c r="S14" s="113" t="str">
        <x:f>IF(Q14="","",Q14*R14)</x:f>
      </x:c>
    </x:row>
    <x:row r="15">
      <x:c r="A15" s="107"/>
      <x:c r="B15" s="108"/>
      <x:c r="C15" s="108"/>
      <x:c r="D15" s="108"/>
      <x:c r="E15" s="108"/>
      <x:c r="F15" s="108"/>
      <x:c r="G15" s="108"/>
      <x:c r="H15" s="108"/>
      <x:c r="I15" s="108"/>
      <x:c r="J15" s="108"/>
      <x:c r="K15" s="109"/>
      <x:c r="L15" s="110"/>
      <x:c r="M15" s="109" t="str">
        <x:f>IF(OR(K15="",L15=""),"",K15*L15)</x:f>
      </x:c>
      <x:c r="N15" s="108" t="str">
        <x:f>IF(I15="","Single",IF(LEFT(I15,2)="2x","Double","Single"))</x:f>
        <x:v>Single</x:v>
      </x:c>
      <x:c r="O15" s="109" t="n">
        <x:f>IF(N15="","",IF(N15="Double",Summary!$B$37,Summary!$B$36))</x:f>
        <x:v>5</x:v>
      </x:c>
      <x:c r="P15" s="109" t="str">
        <x:f>IF(K15="","",K15+O15)</x:f>
      </x:c>
      <x:c r="Q15" s="111" t="str">
        <x:f>IF(P15="","",P15*Summary!$B$35)</x:f>
      </x:c>
      <x:c r="R15" s="112" t="n">
        <x:f>IF(N15="","",IF(N15="Double",Summary!$B$39,Summary!$B$38))</x:f>
        <x:v>1.6</x:v>
      </x:c>
      <x:c r="S15" s="113" t="str">
        <x:f>IF(Q15="","",Q15*R15)</x:f>
      </x:c>
    </x:row>
    <x:row r="16">
      <x:c r="A16" s="107"/>
      <x:c r="B16" s="108"/>
      <x:c r="C16" s="108"/>
      <x:c r="D16" s="108"/>
      <x:c r="E16" s="108"/>
      <x:c r="F16" s="108"/>
      <x:c r="G16" s="108"/>
      <x:c r="H16" s="108"/>
      <x:c r="I16" s="108"/>
      <x:c r="J16" s="108"/>
      <x:c r="K16" s="109"/>
      <x:c r="L16" s="110"/>
      <x:c r="M16" s="109" t="str">
        <x:f>IF(OR(K16="",L16=""),"",K16*L16)</x:f>
      </x:c>
      <x:c r="N16" s="108" t="str">
        <x:f>IF(I16="","Single",IF(LEFT(I16,2)="2x","Double","Single"))</x:f>
        <x:v>Single</x:v>
      </x:c>
      <x:c r="O16" s="109" t="n">
        <x:f>IF(N16="","",IF(N16="Double",Summary!$B$37,Summary!$B$36))</x:f>
        <x:v>5</x:v>
      </x:c>
      <x:c r="P16" s="109" t="str">
        <x:f>IF(K16="","",K16+O16)</x:f>
      </x:c>
      <x:c r="Q16" s="111" t="str">
        <x:f>IF(P16="","",P16*Summary!$B$35)</x:f>
      </x:c>
      <x:c r="R16" s="112" t="n">
        <x:f>IF(N16="","",IF(N16="Double",Summary!$B$39,Summary!$B$38))</x:f>
        <x:v>1.6</x:v>
      </x:c>
      <x:c r="S16" s="113" t="str">
        <x:f>IF(Q16="","",Q16*R16)</x:f>
      </x:c>
    </x:row>
    <x:row r="17">
      <x:c r="A17" s="107"/>
      <x:c r="B17" s="108"/>
      <x:c r="C17" s="108"/>
      <x:c r="D17" s="108"/>
      <x:c r="E17" s="108"/>
      <x:c r="F17" s="108"/>
      <x:c r="G17" s="108"/>
      <x:c r="H17" s="108"/>
      <x:c r="I17" s="108"/>
      <x:c r="J17" s="108"/>
      <x:c r="K17" s="109"/>
      <x:c r="L17" s="110"/>
      <x:c r="M17" s="109" t="str">
        <x:f>IF(OR(K17="",L17=""),"",K17*L17)</x:f>
      </x:c>
      <x:c r="N17" s="108" t="str">
        <x:f>IF(I17="","Single",IF(LEFT(I17,2)="2x","Double","Single"))</x:f>
        <x:v>Single</x:v>
      </x:c>
      <x:c r="O17" s="109" t="n">
        <x:f>IF(N17="","",IF(N17="Double",Summary!$B$37,Summary!$B$36))</x:f>
        <x:v>5</x:v>
      </x:c>
      <x:c r="P17" s="109" t="str">
        <x:f>IF(K17="","",K17+O17)</x:f>
      </x:c>
      <x:c r="Q17" s="111" t="str">
        <x:f>IF(P17="","",P17*Summary!$B$35)</x:f>
      </x:c>
      <x:c r="R17" s="112" t="n">
        <x:f>IF(N17="","",IF(N17="Double",Summary!$B$39,Summary!$B$38))</x:f>
        <x:v>1.6</x:v>
      </x:c>
      <x:c r="S17" s="113" t="str">
        <x:f>IF(Q17="","",Q17*R17)</x:f>
      </x:c>
    </x:row>
    <x:row r="18">
      <x:c r="A18" s="107"/>
      <x:c r="B18" s="108"/>
      <x:c r="C18" s="108"/>
      <x:c r="D18" s="108"/>
      <x:c r="E18" s="108"/>
      <x:c r="F18" s="108"/>
      <x:c r="G18" s="108"/>
      <x:c r="H18" s="108"/>
      <x:c r="I18" s="108"/>
      <x:c r="J18" s="108"/>
      <x:c r="K18" s="109"/>
      <x:c r="L18" s="110"/>
      <x:c r="M18" s="109" t="str">
        <x:f>IF(OR(K18="",L18=""),"",K18*L18)</x:f>
      </x:c>
      <x:c r="N18" s="108" t="str">
        <x:f>IF(I18="","Single",IF(LEFT(I18,2)="2x","Double","Single"))</x:f>
        <x:v>Single</x:v>
      </x:c>
      <x:c r="O18" s="109" t="n">
        <x:f>IF(N18="","",IF(N18="Double",Summary!$B$37,Summary!$B$36))</x:f>
        <x:v>5</x:v>
      </x:c>
      <x:c r="P18" s="109" t="str">
        <x:f>IF(K18="","",K18+O18)</x:f>
      </x:c>
      <x:c r="Q18" s="111" t="str">
        <x:f>IF(P18="","",P18*Summary!$B$35)</x:f>
      </x:c>
      <x:c r="R18" s="112" t="n">
        <x:f>IF(N18="","",IF(N18="Double",Summary!$B$39,Summary!$B$38))</x:f>
        <x:v>1.6</x:v>
      </x:c>
      <x:c r="S18" s="113" t="str">
        <x:f>IF(Q18="","",Q18*R18)</x:f>
      </x:c>
    </x:row>
    <x:row r="19">
      <x:c r="A19" s="107"/>
      <x:c r="B19" s="108"/>
      <x:c r="C19" s="108"/>
      <x:c r="D19" s="108"/>
      <x:c r="E19" s="108"/>
      <x:c r="F19" s="108"/>
      <x:c r="G19" s="108"/>
      <x:c r="H19" s="108"/>
      <x:c r="I19" s="108"/>
      <x:c r="J19" s="108"/>
      <x:c r="K19" s="109"/>
      <x:c r="L19" s="110"/>
      <x:c r="M19" s="109" t="str">
        <x:f>IF(OR(K19="",L19=""),"",K19*L19)</x:f>
      </x:c>
      <x:c r="N19" s="108" t="str">
        <x:f>IF(I19="","Single",IF(LEFT(I19,2)="2x","Double","Single"))</x:f>
        <x:v>Single</x:v>
      </x:c>
      <x:c r="O19" s="109" t="n">
        <x:f>IF(N19="","",IF(N19="Double",Summary!$B$37,Summary!$B$36))</x:f>
        <x:v>5</x:v>
      </x:c>
      <x:c r="P19" s="109" t="str">
        <x:f>IF(K19="","",K19+O19)</x:f>
      </x:c>
      <x:c r="Q19" s="111" t="str">
        <x:f>IF(P19="","",P19*Summary!$B$35)</x:f>
      </x:c>
      <x:c r="R19" s="112" t="n">
        <x:f>IF(N19="","",IF(N19="Double",Summary!$B$39,Summary!$B$38))</x:f>
        <x:v>1.6</x:v>
      </x:c>
      <x:c r="S19" s="113" t="str">
        <x:f>IF(Q19="","",Q19*R19)</x:f>
      </x:c>
    </x:row>
    <x:row r="20">
      <x:c r="A20" s="107"/>
      <x:c r="B20" s="108"/>
      <x:c r="C20" s="108"/>
      <x:c r="D20" s="108"/>
      <x:c r="E20" s="108"/>
      <x:c r="F20" s="108"/>
      <x:c r="G20" s="108"/>
      <x:c r="H20" s="108"/>
      <x:c r="I20" s="108"/>
      <x:c r="J20" s="108"/>
      <x:c r="K20" s="109"/>
      <x:c r="L20" s="110"/>
      <x:c r="M20" s="109" t="str">
        <x:f>IF(OR(K20="",L20=""),"",K20*L20)</x:f>
      </x:c>
      <x:c r="N20" s="108" t="str">
        <x:f>IF(I20="","Single",IF(LEFT(I20,2)="2x","Double","Single"))</x:f>
        <x:v>Single</x:v>
      </x:c>
      <x:c r="O20" s="109" t="n">
        <x:f>IF(N20="","",IF(N20="Double",Summary!$B$37,Summary!$B$36))</x:f>
        <x:v>5</x:v>
      </x:c>
      <x:c r="P20" s="109" t="str">
        <x:f>IF(K20="","",K20+O20)</x:f>
      </x:c>
      <x:c r="Q20" s="111" t="str">
        <x:f>IF(P20="","",P20*Summary!$B$35)</x:f>
      </x:c>
      <x:c r="R20" s="112" t="n">
        <x:f>IF(N20="","",IF(N20="Double",Summary!$B$39,Summary!$B$38))</x:f>
        <x:v>1.6</x:v>
      </x:c>
      <x:c r="S20" s="113" t="str">
        <x:f>IF(Q20="","",Q20*R20)</x:f>
      </x:c>
    </x:row>
    <x:row r="21">
      <x:c r="A21" s="107"/>
      <x:c r="B21" s="108"/>
      <x:c r="C21" s="108"/>
      <x:c r="D21" s="108"/>
      <x:c r="E21" s="108"/>
      <x:c r="F21" s="108"/>
      <x:c r="G21" s="108"/>
      <x:c r="H21" s="108"/>
      <x:c r="I21" s="108"/>
      <x:c r="J21" s="108"/>
      <x:c r="K21" s="109"/>
      <x:c r="L21" s="110"/>
      <x:c r="M21" s="109" t="str">
        <x:f>IF(OR(K21="",L21=""),"",K21*L21)</x:f>
      </x:c>
      <x:c r="N21" s="108" t="str">
        <x:f>IF(I21="","Single",IF(LEFT(I21,2)="2x","Double","Single"))</x:f>
        <x:v>Single</x:v>
      </x:c>
      <x:c r="O21" s="109" t="n">
        <x:f>IF(N21="","",IF(N21="Double",Summary!$B$37,Summary!$B$36))</x:f>
        <x:v>5</x:v>
      </x:c>
      <x:c r="P21" s="109" t="str">
        <x:f>IF(K21="","",K21+O21)</x:f>
      </x:c>
      <x:c r="Q21" s="111" t="str">
        <x:f>IF(P21="","",P21*Summary!$B$35)</x:f>
      </x:c>
      <x:c r="R21" s="112" t="n">
        <x:f>IF(N21="","",IF(N21="Double",Summary!$B$39,Summary!$B$38))</x:f>
        <x:v>1.6</x:v>
      </x:c>
      <x:c r="S21" s="113" t="str">
        <x:f>IF(Q21="","",Q21*R21)</x:f>
      </x:c>
    </x:row>
    <x:row r="22">
      <x:c r="A22" s="107"/>
      <x:c r="B22" s="108"/>
      <x:c r="C22" s="108"/>
      <x:c r="D22" s="108"/>
      <x:c r="E22" s="108"/>
      <x:c r="F22" s="108"/>
      <x:c r="G22" s="108"/>
      <x:c r="H22" s="108"/>
      <x:c r="I22" s="108"/>
      <x:c r="J22" s="108"/>
      <x:c r="K22" s="109"/>
      <x:c r="L22" s="110"/>
      <x:c r="M22" s="109" t="str">
        <x:f>IF(OR(K22="",L22=""),"",K22*L22)</x:f>
      </x:c>
      <x:c r="N22" s="108" t="str">
        <x:f>IF(I22="","Single",IF(LEFT(I22,2)="2x","Double","Single"))</x:f>
        <x:v>Single</x:v>
      </x:c>
      <x:c r="O22" s="109" t="n">
        <x:f>IF(N22="","",IF(N22="Double",Summary!$B$37,Summary!$B$36))</x:f>
        <x:v>5</x:v>
      </x:c>
      <x:c r="P22" s="109" t="str">
        <x:f>IF(K22="","",K22+O22)</x:f>
      </x:c>
      <x:c r="Q22" s="111" t="str">
        <x:f>IF(P22="","",P22*Summary!$B$35)</x:f>
      </x:c>
      <x:c r="R22" s="112" t="n">
        <x:f>IF(N22="","",IF(N22="Double",Summary!$B$39,Summary!$B$38))</x:f>
        <x:v>1.6</x:v>
      </x:c>
      <x:c r="S22" s="113" t="str">
        <x:f>IF(Q22="","",Q22*R22)</x:f>
      </x:c>
    </x:row>
    <x:row r="23">
      <x:c r="A23" s="107"/>
      <x:c r="B23" s="108"/>
      <x:c r="C23" s="108"/>
      <x:c r="D23" s="108"/>
      <x:c r="E23" s="108"/>
      <x:c r="F23" s="108"/>
      <x:c r="G23" s="108"/>
      <x:c r="H23" s="108"/>
      <x:c r="I23" s="108"/>
      <x:c r="J23" s="108"/>
      <x:c r="K23" s="109"/>
      <x:c r="L23" s="110"/>
      <x:c r="M23" s="109" t="str">
        <x:f>IF(OR(K23="",L23=""),"",K23*L23)</x:f>
      </x:c>
      <x:c r="N23" s="108" t="str">
        <x:f>IF(I23="","Single",IF(LEFT(I23,2)="2x","Double","Single"))</x:f>
        <x:v>Single</x:v>
      </x:c>
      <x:c r="O23" s="109" t="n">
        <x:f>IF(N23="","",IF(N23="Double",Summary!$B$37,Summary!$B$36))</x:f>
        <x:v>5</x:v>
      </x:c>
      <x:c r="P23" s="109" t="str">
        <x:f>IF(K23="","",K23+O23)</x:f>
      </x:c>
      <x:c r="Q23" s="111" t="str">
        <x:f>IF(P23="","",P23*Summary!$B$35)</x:f>
      </x:c>
      <x:c r="R23" s="112" t="n">
        <x:f>IF(N23="","",IF(N23="Double",Summary!$B$39,Summary!$B$38))</x:f>
        <x:v>1.6</x:v>
      </x:c>
      <x:c r="S23" s="113" t="str">
        <x:f>IF(Q23="","",Q23*R23)</x:f>
      </x:c>
    </x:row>
    <x:row r="24">
      <x:c r="A24" s="107"/>
      <x:c r="B24" s="108"/>
      <x:c r="C24" s="108"/>
      <x:c r="D24" s="108"/>
      <x:c r="E24" s="108"/>
      <x:c r="F24" s="108"/>
      <x:c r="G24" s="108"/>
      <x:c r="H24" s="108"/>
      <x:c r="I24" s="108"/>
      <x:c r="J24" s="108"/>
      <x:c r="K24" s="109"/>
      <x:c r="L24" s="110"/>
      <x:c r="M24" s="109" t="str">
        <x:f>IF(OR(K24="",L24=""),"",K24*L24)</x:f>
      </x:c>
      <x:c r="N24" s="108" t="str">
        <x:f>IF(I24="","Single",IF(LEFT(I24,2)="2x","Double","Single"))</x:f>
        <x:v>Single</x:v>
      </x:c>
      <x:c r="O24" s="109" t="n">
        <x:f>IF(N24="","",IF(N24="Double",Summary!$B$37,Summary!$B$36))</x:f>
        <x:v>5</x:v>
      </x:c>
      <x:c r="P24" s="109" t="str">
        <x:f>IF(K24="","",K24+O24)</x:f>
      </x:c>
      <x:c r="Q24" s="111" t="str">
        <x:f>IF(P24="","",P24*Summary!$B$35)</x:f>
      </x:c>
      <x:c r="R24" s="112" t="n">
        <x:f>IF(N24="","",IF(N24="Double",Summary!$B$39,Summary!$B$38))</x:f>
        <x:v>1.6</x:v>
      </x:c>
      <x:c r="S24" s="113" t="str">
        <x:f>IF(Q24="","",Q24*R24)</x:f>
      </x:c>
    </x:row>
    <x:row r="25">
      <x:c r="A25" s="107"/>
      <x:c r="B25" s="108"/>
      <x:c r="C25" s="108"/>
      <x:c r="D25" s="108"/>
      <x:c r="E25" s="108"/>
      <x:c r="F25" s="108"/>
      <x:c r="G25" s="108"/>
      <x:c r="H25" s="108"/>
      <x:c r="I25" s="108"/>
      <x:c r="J25" s="108"/>
      <x:c r="K25" s="109"/>
      <x:c r="L25" s="110"/>
      <x:c r="M25" s="109" t="str">
        <x:f>IF(OR(K25="",L25=""),"",K25*L25)</x:f>
      </x:c>
      <x:c r="N25" s="108" t="str">
        <x:f>IF(I25="","Single",IF(LEFT(I25,2)="2x","Double","Single"))</x:f>
        <x:v>Single</x:v>
      </x:c>
      <x:c r="O25" s="109" t="n">
        <x:f>IF(N25="","",IF(N25="Double",Summary!$B$37,Summary!$B$36))</x:f>
        <x:v>5</x:v>
      </x:c>
      <x:c r="P25" s="109" t="str">
        <x:f>IF(K25="","",K25+O25)</x:f>
      </x:c>
      <x:c r="Q25" s="111" t="str">
        <x:f>IF(P25="","",P25*Summary!$B$35)</x:f>
      </x:c>
      <x:c r="R25" s="112" t="n">
        <x:f>IF(N25="","",IF(N25="Double",Summary!$B$39,Summary!$B$38))</x:f>
        <x:v>1.6</x:v>
      </x:c>
      <x:c r="S25" s="113" t="str">
        <x:f>IF(Q25="","",Q25*R25)</x:f>
      </x:c>
    </x:row>
    <x:row r="26">
      <x:c r="A26" s="107"/>
      <x:c r="B26" s="108"/>
      <x:c r="C26" s="108"/>
      <x:c r="D26" s="108"/>
      <x:c r="E26" s="108"/>
      <x:c r="F26" s="108"/>
      <x:c r="G26" s="108"/>
      <x:c r="H26" s="108"/>
      <x:c r="I26" s="108"/>
      <x:c r="J26" s="108"/>
      <x:c r="K26" s="109"/>
      <x:c r="L26" s="110"/>
      <x:c r="M26" s="109" t="str">
        <x:f>IF(OR(K26="",L26=""),"",K26*L26)</x:f>
      </x:c>
      <x:c r="N26" s="108" t="str">
        <x:f>IF(I26="","Single",IF(LEFT(I26,2)="2x","Double","Single"))</x:f>
        <x:v>Single</x:v>
      </x:c>
      <x:c r="O26" s="109" t="n">
        <x:f>IF(N26="","",IF(N26="Double",Summary!$B$37,Summary!$B$36))</x:f>
        <x:v>5</x:v>
      </x:c>
      <x:c r="P26" s="109" t="str">
        <x:f>IF(K26="","",K26+O26)</x:f>
      </x:c>
      <x:c r="Q26" s="111" t="str">
        <x:f>IF(P26="","",P26*Summary!$B$35)</x:f>
      </x:c>
      <x:c r="R26" s="112" t="n">
        <x:f>IF(N26="","",IF(N26="Double",Summary!$B$39,Summary!$B$38))</x:f>
        <x:v>1.6</x:v>
      </x:c>
      <x:c r="S26" s="113" t="str">
        <x:f>IF(Q26="","",Q26*R26)</x:f>
      </x:c>
    </x:row>
    <x:row r="27">
      <x:c r="A27" s="107"/>
      <x:c r="B27" s="108"/>
      <x:c r="C27" s="108"/>
      <x:c r="D27" s="108"/>
      <x:c r="E27" s="108"/>
      <x:c r="F27" s="108"/>
      <x:c r="G27" s="108"/>
      <x:c r="H27" s="108"/>
      <x:c r="I27" s="108"/>
      <x:c r="J27" s="108"/>
      <x:c r="K27" s="109"/>
      <x:c r="L27" s="110"/>
      <x:c r="M27" s="109" t="str">
        <x:f>IF(OR(K27="",L27=""),"",K27*L27)</x:f>
      </x:c>
      <x:c r="N27" s="108" t="str">
        <x:f>IF(I27="","Single",IF(LEFT(I27,2)="2x","Double","Single"))</x:f>
        <x:v>Single</x:v>
      </x:c>
      <x:c r="O27" s="109" t="n">
        <x:f>IF(N27="","",IF(N27="Double",Summary!$B$37,Summary!$B$36))</x:f>
        <x:v>5</x:v>
      </x:c>
      <x:c r="P27" s="109" t="str">
        <x:f>IF(K27="","",K27+O27)</x:f>
      </x:c>
      <x:c r="Q27" s="111" t="str">
        <x:f>IF(P27="","",P27*Summary!$B$35)</x:f>
      </x:c>
      <x:c r="R27" s="112" t="n">
        <x:f>IF(N27="","",IF(N27="Double",Summary!$B$39,Summary!$B$38))</x:f>
        <x:v>1.6</x:v>
      </x:c>
      <x:c r="S27" s="113" t="str">
        <x:f>IF(Q27="","",Q27*R27)</x:f>
      </x:c>
    </x:row>
    <x:row r="28">
      <x:c r="A28" s="107"/>
      <x:c r="B28" s="108"/>
      <x:c r="C28" s="108"/>
      <x:c r="D28" s="108"/>
      <x:c r="E28" s="108"/>
      <x:c r="F28" s="108"/>
      <x:c r="G28" s="108"/>
      <x:c r="H28" s="108"/>
      <x:c r="I28" s="108"/>
      <x:c r="J28" s="108"/>
      <x:c r="K28" s="109"/>
      <x:c r="L28" s="110"/>
      <x:c r="M28" s="109" t="str">
        <x:f>IF(OR(K28="",L28=""),"",K28*L28)</x:f>
      </x:c>
      <x:c r="N28" s="108" t="str">
        <x:f>IF(I28="","Single",IF(LEFT(I28,2)="2x","Double","Single"))</x:f>
        <x:v>Single</x:v>
      </x:c>
      <x:c r="O28" s="109" t="n">
        <x:f>IF(N28="","",IF(N28="Double",Summary!$B$37,Summary!$B$36))</x:f>
        <x:v>5</x:v>
      </x:c>
      <x:c r="P28" s="109" t="str">
        <x:f>IF(K28="","",K28+O28)</x:f>
      </x:c>
      <x:c r="Q28" s="111" t="str">
        <x:f>IF(P28="","",P28*Summary!$B$35)</x:f>
      </x:c>
      <x:c r="R28" s="112" t="n">
        <x:f>IF(N28="","",IF(N28="Double",Summary!$B$39,Summary!$B$38))</x:f>
        <x:v>1.6</x:v>
      </x:c>
      <x:c r="S28" s="113" t="str">
        <x:f>IF(Q28="","",Q28*R28)</x:f>
      </x:c>
    </x:row>
    <x:row r="29">
      <x:c r="A29" s="107"/>
      <x:c r="B29" s="108"/>
      <x:c r="C29" s="108"/>
      <x:c r="D29" s="108"/>
      <x:c r="E29" s="108"/>
      <x:c r="F29" s="108"/>
      <x:c r="G29" s="108"/>
      <x:c r="H29" s="108"/>
      <x:c r="I29" s="108"/>
      <x:c r="J29" s="108"/>
      <x:c r="K29" s="109"/>
      <x:c r="L29" s="110"/>
      <x:c r="M29" s="109" t="str">
        <x:f>IF(OR(K29="",L29=""),"",K29*L29)</x:f>
      </x:c>
      <x:c r="N29" s="108" t="str">
        <x:f>IF(I29="","Single",IF(LEFT(I29,2)="2x","Double","Single"))</x:f>
        <x:v>Single</x:v>
      </x:c>
      <x:c r="O29" s="109" t="n">
        <x:f>IF(N29="","",IF(N29="Double",Summary!$B$37,Summary!$B$36))</x:f>
        <x:v>5</x:v>
      </x:c>
      <x:c r="P29" s="109" t="str">
        <x:f>IF(K29="","",K29+O29)</x:f>
      </x:c>
      <x:c r="Q29" s="111" t="str">
        <x:f>IF(P29="","",P29*Summary!$B$35)</x:f>
      </x:c>
      <x:c r="R29" s="112" t="n">
        <x:f>IF(N29="","",IF(N29="Double",Summary!$B$39,Summary!$B$38))</x:f>
        <x:v>1.6</x:v>
      </x:c>
      <x:c r="S29" s="113" t="str">
        <x:f>IF(Q29="","",Q29*R29)</x:f>
      </x:c>
    </x:row>
    <x:row r="30">
      <x:c r="A30" s="107"/>
      <x:c r="B30" s="108"/>
      <x:c r="C30" s="108"/>
      <x:c r="D30" s="108"/>
      <x:c r="E30" s="108"/>
      <x:c r="F30" s="108"/>
      <x:c r="G30" s="108"/>
      <x:c r="H30" s="108"/>
      <x:c r="I30" s="108"/>
      <x:c r="J30" s="108"/>
      <x:c r="K30" s="109"/>
      <x:c r="L30" s="110"/>
      <x:c r="M30" s="109" t="str">
        <x:f>IF(OR(K30="",L30=""),"",K30*L30)</x:f>
      </x:c>
      <x:c r="N30" s="108" t="str">
        <x:f>IF(I30="","Single",IF(LEFT(I30,2)="2x","Double","Single"))</x:f>
        <x:v>Single</x:v>
      </x:c>
      <x:c r="O30" s="109" t="n">
        <x:f>IF(N30="","",IF(N30="Double",Summary!$B$37,Summary!$B$36))</x:f>
        <x:v>5</x:v>
      </x:c>
      <x:c r="P30" s="109" t="str">
        <x:f>IF(K30="","",K30+O30)</x:f>
      </x:c>
      <x:c r="Q30" s="111" t="str">
        <x:f>IF(P30="","",P30*Summary!$B$35)</x:f>
      </x:c>
      <x:c r="R30" s="112" t="n">
        <x:f>IF(N30="","",IF(N30="Double",Summary!$B$39,Summary!$B$38))</x:f>
        <x:v>1.6</x:v>
      </x:c>
      <x:c r="S30" s="113" t="str">
        <x:f>IF(Q30="","",Q30*R30)</x:f>
      </x:c>
    </x:row>
    <x:row r="31">
      <x:c r="A31" s="107"/>
      <x:c r="B31" s="108"/>
      <x:c r="C31" s="108"/>
      <x:c r="D31" s="108"/>
      <x:c r="E31" s="108"/>
      <x:c r="F31" s="108"/>
      <x:c r="G31" s="108"/>
      <x:c r="H31" s="108"/>
      <x:c r="I31" s="108"/>
      <x:c r="J31" s="108"/>
      <x:c r="K31" s="109"/>
      <x:c r="L31" s="110"/>
      <x:c r="M31" s="109" t="str">
        <x:f>IF(OR(K31="",L31=""),"",K31*L31)</x:f>
      </x:c>
      <x:c r="N31" s="108" t="str">
        <x:f>IF(I31="","Single",IF(LEFT(I31,2)="2x","Double","Single"))</x:f>
        <x:v>Single</x:v>
      </x:c>
      <x:c r="O31" s="109" t="n">
        <x:f>IF(N31="","",IF(N31="Double",Summary!$B$37,Summary!$B$36))</x:f>
        <x:v>5</x:v>
      </x:c>
      <x:c r="P31" s="109" t="str">
        <x:f>IF(K31="","",K31+O31)</x:f>
      </x:c>
      <x:c r="Q31" s="111" t="str">
        <x:f>IF(P31="","",P31*Summary!$B$35)</x:f>
      </x:c>
      <x:c r="R31" s="112" t="n">
        <x:f>IF(N31="","",IF(N31="Double",Summary!$B$39,Summary!$B$38))</x:f>
        <x:v>1.6</x:v>
      </x:c>
      <x:c r="S31" s="113" t="str">
        <x:f>IF(Q31="","",Q31*R31)</x:f>
      </x:c>
    </x:row>
    <x:row r="32">
      <x:c r="A32" s="107"/>
      <x:c r="B32" s="108"/>
      <x:c r="C32" s="108"/>
      <x:c r="D32" s="108"/>
      <x:c r="E32" s="108"/>
      <x:c r="F32" s="108"/>
      <x:c r="G32" s="108"/>
      <x:c r="H32" s="108"/>
      <x:c r="I32" s="108"/>
      <x:c r="J32" s="108"/>
      <x:c r="K32" s="109"/>
      <x:c r="L32" s="110"/>
      <x:c r="M32" s="109" t="str">
        <x:f>IF(OR(K32="",L32=""),"",K32*L32)</x:f>
      </x:c>
      <x:c r="N32" s="108" t="str">
        <x:f>IF(I32="","Single",IF(LEFT(I32,2)="2x","Double","Single"))</x:f>
        <x:v>Single</x:v>
      </x:c>
      <x:c r="O32" s="109" t="n">
        <x:f>IF(N32="","",IF(N32="Double",Summary!$B$37,Summary!$B$36))</x:f>
        <x:v>5</x:v>
      </x:c>
      <x:c r="P32" s="109" t="str">
        <x:f>IF(K32="","",K32+O32)</x:f>
      </x:c>
      <x:c r="Q32" s="111" t="str">
        <x:f>IF(P32="","",P32*Summary!$B$35)</x:f>
      </x:c>
      <x:c r="R32" s="112" t="n">
        <x:f>IF(N32="","",IF(N32="Double",Summary!$B$39,Summary!$B$38))</x:f>
        <x:v>1.6</x:v>
      </x:c>
      <x:c r="S32" s="113" t="str">
        <x:f>IF(Q32="","",Q32*R32)</x:f>
      </x:c>
    </x:row>
    <x:row r="33">
      <x:c r="A33" s="107"/>
      <x:c r="B33" s="108"/>
      <x:c r="C33" s="108"/>
      <x:c r="D33" s="108"/>
      <x:c r="E33" s="108"/>
      <x:c r="F33" s="108"/>
      <x:c r="G33" s="108"/>
      <x:c r="H33" s="108"/>
      <x:c r="I33" s="108"/>
      <x:c r="J33" s="108"/>
      <x:c r="K33" s="109"/>
      <x:c r="L33" s="110"/>
      <x:c r="M33" s="109" t="str">
        <x:f>IF(OR(K33="",L33=""),"",K33*L33)</x:f>
      </x:c>
      <x:c r="N33" s="108" t="str">
        <x:f>IF(I33="","Single",IF(LEFT(I33,2)="2x","Double","Single"))</x:f>
        <x:v>Single</x:v>
      </x:c>
      <x:c r="O33" s="109" t="n">
        <x:f>IF(N33="","",IF(N33="Double",Summary!$B$37,Summary!$B$36))</x:f>
        <x:v>5</x:v>
      </x:c>
      <x:c r="P33" s="109" t="str">
        <x:f>IF(K33="","",K33+O33)</x:f>
      </x:c>
      <x:c r="Q33" s="111" t="str">
        <x:f>IF(P33="","",P33*Summary!$B$35)</x:f>
      </x:c>
      <x:c r="R33" s="112" t="n">
        <x:f>IF(N33="","",IF(N33="Double",Summary!$B$39,Summary!$B$38))</x:f>
        <x:v>1.6</x:v>
      </x:c>
      <x:c r="S33" s="113" t="str">
        <x:f>IF(Q33="","",Q33*R33)</x:f>
      </x:c>
    </x:row>
    <x:row r="34">
      <x:c r="A34" s="107"/>
      <x:c r="B34" s="108"/>
      <x:c r="C34" s="108"/>
      <x:c r="D34" s="108"/>
      <x:c r="E34" s="108"/>
      <x:c r="F34" s="108"/>
      <x:c r="G34" s="108"/>
      <x:c r="H34" s="108"/>
      <x:c r="I34" s="108"/>
      <x:c r="J34" s="108"/>
      <x:c r="K34" s="109"/>
      <x:c r="L34" s="110"/>
      <x:c r="M34" s="109" t="str">
        <x:f>IF(OR(K34="",L34=""),"",K34*L34)</x:f>
      </x:c>
      <x:c r="N34" s="108" t="str">
        <x:f>IF(I34="","Single",IF(LEFT(I34,2)="2x","Double","Single"))</x:f>
        <x:v>Single</x:v>
      </x:c>
      <x:c r="O34" s="109" t="n">
        <x:f>IF(N34="","",IF(N34="Double",Summary!$B$37,Summary!$B$36))</x:f>
        <x:v>5</x:v>
      </x:c>
      <x:c r="P34" s="109" t="str">
        <x:f>IF(K34="","",K34+O34)</x:f>
      </x:c>
      <x:c r="Q34" s="111" t="str">
        <x:f>IF(P34="","",P34*Summary!$B$35)</x:f>
      </x:c>
      <x:c r="R34" s="112" t="n">
        <x:f>IF(N34="","",IF(N34="Double",Summary!$B$39,Summary!$B$38))</x:f>
        <x:v>1.6</x:v>
      </x:c>
      <x:c r="S34" s="113" t="str">
        <x:f>IF(Q34="","",Q34*R34)</x:f>
      </x:c>
    </x:row>
    <x:row r="35">
      <x:c r="A35" s="107"/>
      <x:c r="B35" s="108"/>
      <x:c r="C35" s="108"/>
      <x:c r="D35" s="108"/>
      <x:c r="E35" s="108"/>
      <x:c r="F35" s="108"/>
      <x:c r="G35" s="108"/>
      <x:c r="H35" s="108"/>
      <x:c r="I35" s="108"/>
      <x:c r="J35" s="108"/>
      <x:c r="K35" s="109"/>
      <x:c r="L35" s="110"/>
      <x:c r="M35" s="109" t="str">
        <x:f>IF(OR(K35="",L35=""),"",K35*L35)</x:f>
      </x:c>
      <x:c r="N35" s="108" t="str">
        <x:f>IF(I35="","Single",IF(LEFT(I35,2)="2x","Double","Single"))</x:f>
        <x:v>Single</x:v>
      </x:c>
      <x:c r="O35" s="109" t="n">
        <x:f>IF(N35="","",IF(N35="Double",Summary!$B$37,Summary!$B$36))</x:f>
        <x:v>5</x:v>
      </x:c>
      <x:c r="P35" s="109" t="str">
        <x:f>IF(K35="","",K35+O35)</x:f>
      </x:c>
      <x:c r="Q35" s="111" t="str">
        <x:f>IF(P35="","",P35*Summary!$B$35)</x:f>
      </x:c>
      <x:c r="R35" s="112" t="n">
        <x:f>IF(N35="","",IF(N35="Double",Summary!$B$39,Summary!$B$38))</x:f>
        <x:v>1.6</x:v>
      </x:c>
      <x:c r="S35" s="113" t="str">
        <x:f>IF(Q35="","",Q35*R35)</x:f>
      </x:c>
    </x:row>
    <x:row r="36">
      <x:c r="A36" s="107"/>
      <x:c r="B36" s="108"/>
      <x:c r="C36" s="108"/>
      <x:c r="D36" s="108"/>
      <x:c r="E36" s="108"/>
      <x:c r="F36" s="108"/>
      <x:c r="G36" s="108"/>
      <x:c r="H36" s="108"/>
      <x:c r="I36" s="108"/>
      <x:c r="J36" s="108"/>
      <x:c r="K36" s="109"/>
      <x:c r="L36" s="110"/>
      <x:c r="M36" s="109" t="str">
        <x:f>IF(OR(K36="",L36=""),"",K36*L36)</x:f>
      </x:c>
      <x:c r="N36" s="108" t="str">
        <x:f>IF(I36="","Single",IF(LEFT(I36,2)="2x","Double","Single"))</x:f>
        <x:v>Single</x:v>
      </x:c>
      <x:c r="O36" s="109" t="n">
        <x:f>IF(N36="","",IF(N36="Double",Summary!$B$37,Summary!$B$36))</x:f>
        <x:v>5</x:v>
      </x:c>
      <x:c r="P36" s="109" t="str">
        <x:f>IF(K36="","",K36+O36)</x:f>
      </x:c>
      <x:c r="Q36" s="111" t="str">
        <x:f>IF(P36="","",P36*Summary!$B$35)</x:f>
      </x:c>
      <x:c r="R36" s="112" t="n">
        <x:f>IF(N36="","",IF(N36="Double",Summary!$B$39,Summary!$B$38))</x:f>
        <x:v>1.6</x:v>
      </x:c>
      <x:c r="S36" s="113" t="str">
        <x:f>IF(Q36="","",Q36*R36)</x:f>
      </x:c>
    </x:row>
    <x:row r="37">
      <x:c r="A37" s="107"/>
      <x:c r="B37" s="108"/>
      <x:c r="C37" s="108"/>
      <x:c r="D37" s="108"/>
      <x:c r="E37" s="108"/>
      <x:c r="F37" s="108"/>
      <x:c r="G37" s="108"/>
      <x:c r="H37" s="108"/>
      <x:c r="I37" s="108"/>
      <x:c r="J37" s="108"/>
      <x:c r="K37" s="109"/>
      <x:c r="L37" s="110"/>
      <x:c r="M37" s="109" t="str">
        <x:f>IF(OR(K37="",L37=""),"",K37*L37)</x:f>
      </x:c>
      <x:c r="N37" s="108" t="str">
        <x:f>IF(I37="","Single",IF(LEFT(I37,2)="2x","Double","Single"))</x:f>
        <x:v>Single</x:v>
      </x:c>
      <x:c r="O37" s="109" t="n">
        <x:f>IF(N37="","",IF(N37="Double",Summary!$B$37,Summary!$B$36))</x:f>
        <x:v>5</x:v>
      </x:c>
      <x:c r="P37" s="109" t="str">
        <x:f>IF(K37="","",K37+O37)</x:f>
      </x:c>
      <x:c r="Q37" s="111" t="str">
        <x:f>IF(P37="","",P37*Summary!$B$35)</x:f>
      </x:c>
      <x:c r="R37" s="112" t="n">
        <x:f>IF(N37="","",IF(N37="Double",Summary!$B$39,Summary!$B$38))</x:f>
        <x:v>1.6</x:v>
      </x:c>
      <x:c r="S37" s="113" t="str">
        <x:f>IF(Q37="","",Q37*R37)</x:f>
      </x:c>
    </x:row>
    <x:row r="38">
      <x:c r="A38" s="107"/>
      <x:c r="B38" s="108"/>
      <x:c r="C38" s="108"/>
      <x:c r="D38" s="108"/>
      <x:c r="E38" s="108"/>
      <x:c r="F38" s="108"/>
      <x:c r="G38" s="108"/>
      <x:c r="H38" s="108"/>
      <x:c r="I38" s="108"/>
      <x:c r="J38" s="108"/>
      <x:c r="K38" s="109"/>
      <x:c r="L38" s="110"/>
      <x:c r="M38" s="109" t="str">
        <x:f>IF(OR(K38="",L38=""),"",K38*L38)</x:f>
      </x:c>
      <x:c r="N38" s="108" t="str">
        <x:f>IF(I38="","Single",IF(LEFT(I38,2)="2x","Double","Single"))</x:f>
        <x:v>Single</x:v>
      </x:c>
      <x:c r="O38" s="109" t="n">
        <x:f>IF(N38="","",IF(N38="Double",Summary!$B$37,Summary!$B$36))</x:f>
        <x:v>5</x:v>
      </x:c>
      <x:c r="P38" s="109" t="str">
        <x:f>IF(K38="","",K38+O38)</x:f>
      </x:c>
      <x:c r="Q38" s="111" t="str">
        <x:f>IF(P38="","",P38*Summary!$B$35)</x:f>
      </x:c>
      <x:c r="R38" s="112" t="n">
        <x:f>IF(N38="","",IF(N38="Double",Summary!$B$39,Summary!$B$38))</x:f>
        <x:v>1.6</x:v>
      </x:c>
      <x:c r="S38" s="113" t="str">
        <x:f>IF(Q38="","",Q38*R38)</x:f>
      </x:c>
    </x:row>
    <x:row r="39">
      <x:c r="A39" s="107"/>
      <x:c r="B39" s="108"/>
      <x:c r="C39" s="108"/>
      <x:c r="D39" s="108"/>
      <x:c r="E39" s="108"/>
      <x:c r="F39" s="108"/>
      <x:c r="G39" s="108"/>
      <x:c r="H39" s="108"/>
      <x:c r="I39" s="108"/>
      <x:c r="J39" s="108"/>
      <x:c r="K39" s="109"/>
      <x:c r="L39" s="110"/>
      <x:c r="M39" s="109" t="str">
        <x:f>IF(OR(K39="",L39=""),"",K39*L39)</x:f>
      </x:c>
      <x:c r="N39" s="108" t="str">
        <x:f>IF(I39="","Single",IF(LEFT(I39,2)="2x","Double","Single"))</x:f>
        <x:v>Single</x:v>
      </x:c>
      <x:c r="O39" s="109" t="n">
        <x:f>IF(N39="","",IF(N39="Double",Summary!$B$37,Summary!$B$36))</x:f>
        <x:v>5</x:v>
      </x:c>
      <x:c r="P39" s="109" t="str">
        <x:f>IF(K39="","",K39+O39)</x:f>
      </x:c>
      <x:c r="Q39" s="111" t="str">
        <x:f>IF(P39="","",P39*Summary!$B$35)</x:f>
      </x:c>
      <x:c r="R39" s="112" t="n">
        <x:f>IF(N39="","",IF(N39="Double",Summary!$B$39,Summary!$B$38))</x:f>
        <x:v>1.6</x:v>
      </x:c>
      <x:c r="S39" s="113" t="str">
        <x:f>IF(Q39="","",Q39*R39)</x:f>
      </x:c>
    </x:row>
    <x:row r="40">
      <x:c r="A40" s="107"/>
      <x:c r="B40" s="108"/>
      <x:c r="C40" s="108"/>
      <x:c r="D40" s="108"/>
      <x:c r="E40" s="108"/>
      <x:c r="F40" s="108"/>
      <x:c r="G40" s="108"/>
      <x:c r="H40" s="108"/>
      <x:c r="I40" s="108"/>
      <x:c r="J40" s="108"/>
      <x:c r="K40" s="109"/>
      <x:c r="L40" s="110"/>
      <x:c r="M40" s="109" t="str">
        <x:f>IF(OR(K40="",L40=""),"",K40*L40)</x:f>
      </x:c>
      <x:c r="N40" s="108" t="str">
        <x:f>IF(I40="","Single",IF(LEFT(I40,2)="2x","Double","Single"))</x:f>
        <x:v>Single</x:v>
      </x:c>
      <x:c r="O40" s="109" t="n">
        <x:f>IF(N40="","",IF(N40="Double",Summary!$B$37,Summary!$B$36))</x:f>
        <x:v>5</x:v>
      </x:c>
      <x:c r="P40" s="109" t="str">
        <x:f>IF(K40="","",K40+O40)</x:f>
      </x:c>
      <x:c r="Q40" s="111" t="str">
        <x:f>IF(P40="","",P40*Summary!$B$35)</x:f>
      </x:c>
      <x:c r="R40" s="112" t="n">
        <x:f>IF(N40="","",IF(N40="Double",Summary!$B$39,Summary!$B$38))</x:f>
        <x:v>1.6</x:v>
      </x:c>
      <x:c r="S40" s="113" t="str">
        <x:f>IF(Q40="","",Q40*R40)</x:f>
      </x:c>
    </x:row>
    <x:row r="41">
      <x:c r="A41" s="107"/>
      <x:c r="B41" s="108"/>
      <x:c r="C41" s="108"/>
      <x:c r="D41" s="108"/>
      <x:c r="E41" s="108"/>
      <x:c r="F41" s="108"/>
      <x:c r="G41" s="108"/>
      <x:c r="H41" s="108"/>
      <x:c r="I41" s="108"/>
      <x:c r="J41" s="108"/>
      <x:c r="K41" s="109"/>
      <x:c r="L41" s="110"/>
      <x:c r="M41" s="109" t="str">
        <x:f>IF(OR(K41="",L41=""),"",K41*L41)</x:f>
      </x:c>
      <x:c r="N41" s="108" t="str">
        <x:f>IF(I41="","Single",IF(LEFT(I41,2)="2x","Double","Single"))</x:f>
        <x:v>Single</x:v>
      </x:c>
      <x:c r="O41" s="109" t="n">
        <x:f>IF(N41="","",IF(N41="Double",Summary!$B$37,Summary!$B$36))</x:f>
        <x:v>5</x:v>
      </x:c>
      <x:c r="P41" s="109" t="str">
        <x:f>IF(K41="","",K41+O41)</x:f>
      </x:c>
      <x:c r="Q41" s="111" t="str">
        <x:f>IF(P41="","",P41*Summary!$B$35)</x:f>
      </x:c>
      <x:c r="R41" s="112" t="n">
        <x:f>IF(N41="","",IF(N41="Double",Summary!$B$39,Summary!$B$38))</x:f>
        <x:v>1.6</x:v>
      </x:c>
      <x:c r="S41" s="113" t="str">
        <x:f>IF(Q41="","",Q41*R41)</x:f>
      </x:c>
    </x:row>
    <x:row r="42">
      <x:c r="A42" s="107"/>
      <x:c r="B42" s="108"/>
      <x:c r="C42" s="108"/>
      <x:c r="D42" s="108"/>
      <x:c r="E42" s="108"/>
      <x:c r="F42" s="108"/>
      <x:c r="G42" s="108"/>
      <x:c r="H42" s="108"/>
      <x:c r="I42" s="108"/>
      <x:c r="J42" s="108"/>
      <x:c r="K42" s="109"/>
      <x:c r="L42" s="110"/>
      <x:c r="M42" s="109" t="str">
        <x:f>IF(OR(K42="",L42=""),"",K42*L42)</x:f>
      </x:c>
      <x:c r="N42" s="108" t="str">
        <x:f>IF(I42="","Single",IF(LEFT(I42,2)="2x","Double","Single"))</x:f>
        <x:v>Single</x:v>
      </x:c>
      <x:c r="O42" s="109" t="n">
        <x:f>IF(N42="","",IF(N42="Double",Summary!$B$37,Summary!$B$36))</x:f>
        <x:v>5</x:v>
      </x:c>
      <x:c r="P42" s="109" t="str">
        <x:f>IF(K42="","",K42+O42)</x:f>
      </x:c>
      <x:c r="Q42" s="111" t="str">
        <x:f>IF(P42="","",P42*Summary!$B$35)</x:f>
      </x:c>
      <x:c r="R42" s="112" t="n">
        <x:f>IF(N42="","",IF(N42="Double",Summary!$B$39,Summary!$B$38))</x:f>
        <x:v>1.6</x:v>
      </x:c>
      <x:c r="S42" s="113" t="str">
        <x:f>IF(Q42="","",Q42*R42)</x:f>
      </x:c>
    </x:row>
    <x:row r="43">
      <x:c r="A43" s="107"/>
      <x:c r="B43" s="108"/>
      <x:c r="C43" s="108"/>
      <x:c r="D43" s="108"/>
      <x:c r="E43" s="108"/>
      <x:c r="F43" s="108"/>
      <x:c r="G43" s="108"/>
      <x:c r="H43" s="108"/>
      <x:c r="I43" s="108"/>
      <x:c r="J43" s="108"/>
      <x:c r="K43" s="109"/>
      <x:c r="L43" s="110"/>
      <x:c r="M43" s="109" t="str">
        <x:f>IF(OR(K43="",L43=""),"",K43*L43)</x:f>
      </x:c>
      <x:c r="N43" s="108" t="str">
        <x:f>IF(I43="","Single",IF(LEFT(I43,2)="2x","Double","Single"))</x:f>
        <x:v>Single</x:v>
      </x:c>
      <x:c r="O43" s="109" t="n">
        <x:f>IF(N43="","",IF(N43="Double",Summary!$B$37,Summary!$B$36))</x:f>
        <x:v>5</x:v>
      </x:c>
      <x:c r="P43" s="109" t="str">
        <x:f>IF(K43="","",K43+O43)</x:f>
      </x:c>
      <x:c r="Q43" s="111" t="str">
        <x:f>IF(P43="","",P43*Summary!$B$35)</x:f>
      </x:c>
      <x:c r="R43" s="112" t="n">
        <x:f>IF(N43="","",IF(N43="Double",Summary!$B$39,Summary!$B$38))</x:f>
        <x:v>1.6</x:v>
      </x:c>
      <x:c r="S43" s="113" t="str">
        <x:f>IF(Q43="","",Q43*R43)</x:f>
      </x:c>
    </x:row>
    <x:row r="44">
      <x:c r="A44" s="107"/>
      <x:c r="B44" s="108"/>
      <x:c r="C44" s="108"/>
      <x:c r="D44" s="108"/>
      <x:c r="E44" s="108"/>
      <x:c r="F44" s="108"/>
      <x:c r="G44" s="108"/>
      <x:c r="H44" s="108"/>
      <x:c r="I44" s="108"/>
      <x:c r="J44" s="108"/>
      <x:c r="K44" s="109"/>
      <x:c r="L44" s="110"/>
      <x:c r="M44" s="109" t="str">
        <x:f>IF(OR(K44="",L44=""),"",K44*L44)</x:f>
      </x:c>
      <x:c r="N44" s="108" t="str">
        <x:f>IF(I44="","Single",IF(LEFT(I44,2)="2x","Double","Single"))</x:f>
        <x:v>Single</x:v>
      </x:c>
      <x:c r="O44" s="109" t="n">
        <x:f>IF(N44="","",IF(N44="Double",Summary!$B$37,Summary!$B$36))</x:f>
        <x:v>5</x:v>
      </x:c>
      <x:c r="P44" s="109" t="str">
        <x:f>IF(K44="","",K44+O44)</x:f>
      </x:c>
      <x:c r="Q44" s="111" t="str">
        <x:f>IF(P44="","",P44*Summary!$B$35)</x:f>
      </x:c>
      <x:c r="R44" s="112" t="n">
        <x:f>IF(N44="","",IF(N44="Double",Summary!$B$39,Summary!$B$38))</x:f>
        <x:v>1.6</x:v>
      </x:c>
      <x:c r="S44" s="113" t="str">
        <x:f>IF(Q44="","",Q44*R44)</x:f>
      </x:c>
    </x:row>
    <x:row r="45">
      <x:c r="A45" s="107"/>
      <x:c r="B45" s="108"/>
      <x:c r="C45" s="108"/>
      <x:c r="D45" s="108"/>
      <x:c r="E45" s="108"/>
      <x:c r="F45" s="108"/>
      <x:c r="G45" s="108"/>
      <x:c r="H45" s="108"/>
      <x:c r="I45" s="108"/>
      <x:c r="J45" s="108"/>
      <x:c r="K45" s="109"/>
      <x:c r="L45" s="110"/>
      <x:c r="M45" s="109" t="str">
        <x:f>IF(OR(K45="",L45=""),"",K45*L45)</x:f>
      </x:c>
      <x:c r="N45" s="108" t="str">
        <x:f>IF(I45="","Single",IF(LEFT(I45,2)="2x","Double","Single"))</x:f>
        <x:v>Single</x:v>
      </x:c>
      <x:c r="O45" s="109" t="n">
        <x:f>IF(N45="","",IF(N45="Double",Summary!$B$37,Summary!$B$36))</x:f>
        <x:v>5</x:v>
      </x:c>
      <x:c r="P45" s="109" t="str">
        <x:f>IF(K45="","",K45+O45)</x:f>
      </x:c>
      <x:c r="Q45" s="111" t="str">
        <x:f>IF(P45="","",P45*Summary!$B$35)</x:f>
      </x:c>
      <x:c r="R45" s="112" t="n">
        <x:f>IF(N45="","",IF(N45="Double",Summary!$B$39,Summary!$B$38))</x:f>
        <x:v>1.6</x:v>
      </x:c>
      <x:c r="S45" s="113" t="str">
        <x:f>IF(Q45="","",Q45*R45)</x:f>
      </x:c>
    </x:row>
    <x:row r="46">
      <x:c r="A46" s="107"/>
      <x:c r="B46" s="108"/>
      <x:c r="C46" s="108"/>
      <x:c r="D46" s="108"/>
      <x:c r="E46" s="108"/>
      <x:c r="F46" s="108"/>
      <x:c r="G46" s="108"/>
      <x:c r="H46" s="108"/>
      <x:c r="I46" s="108"/>
      <x:c r="J46" s="108"/>
      <x:c r="K46" s="109"/>
      <x:c r="L46" s="110"/>
      <x:c r="M46" s="109" t="str">
        <x:f>IF(OR(K46="",L46=""),"",K46*L46)</x:f>
      </x:c>
      <x:c r="N46" s="108" t="str">
        <x:f>IF(I46="","Single",IF(LEFT(I46,2)="2x","Double","Single"))</x:f>
        <x:v>Single</x:v>
      </x:c>
      <x:c r="O46" s="109" t="n">
        <x:f>IF(N46="","",IF(N46="Double",Summary!$B$37,Summary!$B$36))</x:f>
        <x:v>5</x:v>
      </x:c>
      <x:c r="P46" s="109" t="str">
        <x:f>IF(K46="","",K46+O46)</x:f>
      </x:c>
      <x:c r="Q46" s="111" t="str">
        <x:f>IF(P46="","",P46*Summary!$B$35)</x:f>
      </x:c>
      <x:c r="R46" s="112" t="n">
        <x:f>IF(N46="","",IF(N46="Double",Summary!$B$39,Summary!$B$38))</x:f>
        <x:v>1.6</x:v>
      </x:c>
      <x:c r="S46" s="113" t="str">
        <x:f>IF(Q46="","",Q46*R46)</x:f>
      </x:c>
    </x:row>
    <x:row r="47">
      <x:c r="A47" s="107"/>
      <x:c r="B47" s="108"/>
      <x:c r="C47" s="108"/>
      <x:c r="D47" s="108"/>
      <x:c r="E47" s="108"/>
      <x:c r="F47" s="108"/>
      <x:c r="G47" s="108"/>
      <x:c r="H47" s="108"/>
      <x:c r="I47" s="108"/>
      <x:c r="J47" s="108"/>
      <x:c r="K47" s="109"/>
      <x:c r="L47" s="110"/>
      <x:c r="M47" s="109" t="str">
        <x:f>IF(OR(K47="",L47=""),"",K47*L47)</x:f>
      </x:c>
      <x:c r="N47" s="108" t="str">
        <x:f>IF(I47="","Single",IF(LEFT(I47,2)="2x","Double","Single"))</x:f>
        <x:v>Single</x:v>
      </x:c>
      <x:c r="O47" s="109" t="n">
        <x:f>IF(N47="","",IF(N47="Double",Summary!$B$37,Summary!$B$36))</x:f>
        <x:v>5</x:v>
      </x:c>
      <x:c r="P47" s="109" t="str">
        <x:f>IF(K47="","",K47+O47)</x:f>
      </x:c>
      <x:c r="Q47" s="111" t="str">
        <x:f>IF(P47="","",P47*Summary!$B$35)</x:f>
      </x:c>
      <x:c r="R47" s="112" t="n">
        <x:f>IF(N47="","",IF(N47="Double",Summary!$B$39,Summary!$B$38))</x:f>
        <x:v>1.6</x:v>
      </x:c>
      <x:c r="S47" s="113" t="str">
        <x:f>IF(Q47="","",Q47*R47)</x:f>
      </x:c>
    </x:row>
    <x:row r="48">
      <x:c r="A48" s="107"/>
      <x:c r="B48" s="108"/>
      <x:c r="C48" s="108"/>
      <x:c r="D48" s="108"/>
      <x:c r="E48" s="108"/>
      <x:c r="F48" s="108"/>
      <x:c r="G48" s="108"/>
      <x:c r="H48" s="108"/>
      <x:c r="I48" s="108"/>
      <x:c r="J48" s="108"/>
      <x:c r="K48" s="109"/>
      <x:c r="L48" s="110"/>
      <x:c r="M48" s="109" t="str">
        <x:f>IF(OR(K48="",L48=""),"",K48*L48)</x:f>
      </x:c>
      <x:c r="N48" s="108" t="str">
        <x:f>IF(I48="","Single",IF(LEFT(I48,2)="2x","Double","Single"))</x:f>
        <x:v>Single</x:v>
      </x:c>
      <x:c r="O48" s="109" t="n">
        <x:f>IF(N48="","",IF(N48="Double",Summary!$B$37,Summary!$B$36))</x:f>
        <x:v>5</x:v>
      </x:c>
      <x:c r="P48" s="109" t="str">
        <x:f>IF(K48="","",K48+O48)</x:f>
      </x:c>
      <x:c r="Q48" s="111" t="str">
        <x:f>IF(P48="","",P48*Summary!$B$35)</x:f>
      </x:c>
      <x:c r="R48" s="112" t="n">
        <x:f>IF(N48="","",IF(N48="Double",Summary!$B$39,Summary!$B$38))</x:f>
        <x:v>1.6</x:v>
      </x:c>
      <x:c r="S48" s="113" t="str">
        <x:f>IF(Q48="","",Q48*R48)</x:f>
      </x:c>
    </x:row>
    <x:row r="49">
      <x:c r="A49" s="107"/>
      <x:c r="B49" s="108"/>
      <x:c r="C49" s="108"/>
      <x:c r="D49" s="108"/>
      <x:c r="E49" s="108"/>
      <x:c r="F49" s="108"/>
      <x:c r="G49" s="108"/>
      <x:c r="H49" s="108"/>
      <x:c r="I49" s="108"/>
      <x:c r="J49" s="108"/>
      <x:c r="K49" s="109"/>
      <x:c r="L49" s="110"/>
      <x:c r="M49" s="109" t="str">
        <x:f>IF(OR(K49="",L49=""),"",K49*L49)</x:f>
      </x:c>
      <x:c r="N49" s="108" t="str">
        <x:f>IF(I49="","Single",IF(LEFT(I49,2)="2x","Double","Single"))</x:f>
        <x:v>Single</x:v>
      </x:c>
      <x:c r="O49" s="109" t="n">
        <x:f>IF(N49="","",IF(N49="Double",Summary!$B$37,Summary!$B$36))</x:f>
        <x:v>5</x:v>
      </x:c>
      <x:c r="P49" s="109" t="str">
        <x:f>IF(K49="","",K49+O49)</x:f>
      </x:c>
      <x:c r="Q49" s="111" t="str">
        <x:f>IF(P49="","",P49*Summary!$B$35)</x:f>
      </x:c>
      <x:c r="R49" s="112" t="n">
        <x:f>IF(N49="","",IF(N49="Double",Summary!$B$39,Summary!$B$38))</x:f>
        <x:v>1.6</x:v>
      </x:c>
      <x:c r="S49" s="113" t="str">
        <x:f>IF(Q49="","",Q49*R49)</x:f>
      </x:c>
    </x:row>
    <x:row r="50">
      <x:c r="A50" s="107"/>
      <x:c r="B50" s="108"/>
      <x:c r="C50" s="108"/>
      <x:c r="D50" s="108"/>
      <x:c r="E50" s="108"/>
      <x:c r="F50" s="108"/>
      <x:c r="G50" s="108"/>
      <x:c r="H50" s="108"/>
      <x:c r="I50" s="108"/>
      <x:c r="J50" s="108"/>
      <x:c r="K50" s="109"/>
      <x:c r="L50" s="110"/>
      <x:c r="M50" s="109" t="str">
        <x:f>IF(OR(K50="",L50=""),"",K50*L50)</x:f>
      </x:c>
      <x:c r="N50" s="108" t="str">
        <x:f>IF(I50="","Single",IF(LEFT(I50,2)="2x","Double","Single"))</x:f>
        <x:v>Single</x:v>
      </x:c>
      <x:c r="O50" s="109" t="n">
        <x:f>IF(N50="","",IF(N50="Double",Summary!$B$37,Summary!$B$36))</x:f>
        <x:v>5</x:v>
      </x:c>
      <x:c r="P50" s="109" t="str">
        <x:f>IF(K50="","",K50+O50)</x:f>
      </x:c>
      <x:c r="Q50" s="111" t="str">
        <x:f>IF(P50="","",P50*Summary!$B$35)</x:f>
      </x:c>
      <x:c r="R50" s="112" t="n">
        <x:f>IF(N50="","",IF(N50="Double",Summary!$B$39,Summary!$B$38))</x:f>
        <x:v>1.6</x:v>
      </x:c>
      <x:c r="S50" s="113" t="str">
        <x:f>IF(Q50="","",Q50*R50)</x:f>
      </x:c>
    </x:row>
    <x:row r="51">
      <x:c r="A51" s="107"/>
      <x:c r="B51" s="108"/>
      <x:c r="C51" s="108"/>
      <x:c r="D51" s="108"/>
      <x:c r="E51" s="108"/>
      <x:c r="F51" s="108"/>
      <x:c r="G51" s="108"/>
      <x:c r="H51" s="108"/>
      <x:c r="I51" s="108"/>
      <x:c r="J51" s="108"/>
      <x:c r="K51" s="109"/>
      <x:c r="L51" s="110"/>
      <x:c r="M51" s="109" t="str">
        <x:f>IF(OR(K51="",L51=""),"",K51*L51)</x:f>
      </x:c>
      <x:c r="N51" s="108" t="str">
        <x:f>IF(I51="","Single",IF(LEFT(I51,2)="2x","Double","Single"))</x:f>
        <x:v>Single</x:v>
      </x:c>
      <x:c r="O51" s="109" t="n">
        <x:f>IF(N51="","",IF(N51="Double",Summary!$B$37,Summary!$B$36))</x:f>
        <x:v>5</x:v>
      </x:c>
      <x:c r="P51" s="109" t="str">
        <x:f>IF(K51="","",K51+O51)</x:f>
      </x:c>
      <x:c r="Q51" s="111" t="str">
        <x:f>IF(P51="","",P51*Summary!$B$35)</x:f>
      </x:c>
      <x:c r="R51" s="112" t="n">
        <x:f>IF(N51="","",IF(N51="Double",Summary!$B$39,Summary!$B$38))</x:f>
        <x:v>1.6</x:v>
      </x:c>
      <x:c r="S51" s="113" t="str">
        <x:f>IF(Q51="","",Q51*R51)</x:f>
      </x:c>
    </x:row>
    <x:row r="52">
      <x:c r="A52" s="107"/>
      <x:c r="B52" s="108"/>
      <x:c r="C52" s="108"/>
      <x:c r="D52" s="108"/>
      <x:c r="E52" s="108"/>
      <x:c r="F52" s="108"/>
      <x:c r="G52" s="108"/>
      <x:c r="H52" s="108"/>
      <x:c r="I52" s="108"/>
      <x:c r="J52" s="108"/>
      <x:c r="K52" s="109"/>
      <x:c r="L52" s="110"/>
      <x:c r="M52" s="109" t="str">
        <x:f>IF(OR(K52="",L52=""),"",K52*L52)</x:f>
      </x:c>
      <x:c r="N52" s="108" t="str">
        <x:f>IF(I52="","Single",IF(LEFT(I52,2)="2x","Double","Single"))</x:f>
        <x:v>Single</x:v>
      </x:c>
      <x:c r="O52" s="109" t="n">
        <x:f>IF(N52="","",IF(N52="Double",Summary!$B$37,Summary!$B$36))</x:f>
        <x:v>5</x:v>
      </x:c>
      <x:c r="P52" s="109" t="str">
        <x:f>IF(K52="","",K52+O52)</x:f>
      </x:c>
      <x:c r="Q52" s="111" t="str">
        <x:f>IF(P52="","",P52*Summary!$B$35)</x:f>
      </x:c>
      <x:c r="R52" s="112" t="n">
        <x:f>IF(N52="","",IF(N52="Double",Summary!$B$39,Summary!$B$38))</x:f>
        <x:v>1.6</x:v>
      </x:c>
      <x:c r="S52" s="113" t="str">
        <x:f>IF(Q52="","",Q52*R52)</x:f>
      </x:c>
    </x:row>
    <x:row r="53">
      <x:c r="A53" s="107"/>
      <x:c r="B53" s="108"/>
      <x:c r="C53" s="108"/>
      <x:c r="D53" s="108"/>
      <x:c r="E53" s="108"/>
      <x:c r="F53" s="108"/>
      <x:c r="G53" s="108"/>
      <x:c r="H53" s="108"/>
      <x:c r="I53" s="108"/>
      <x:c r="J53" s="108"/>
      <x:c r="K53" s="109"/>
      <x:c r="L53" s="110"/>
      <x:c r="M53" s="109" t="str">
        <x:f>IF(OR(K53="",L53=""),"",K53*L53)</x:f>
      </x:c>
      <x:c r="N53" s="108" t="str">
        <x:f>IF(I53="","Single",IF(LEFT(I53,2)="2x","Double","Single"))</x:f>
        <x:v>Single</x:v>
      </x:c>
      <x:c r="O53" s="109" t="n">
        <x:f>IF(N53="","",IF(N53="Double",Summary!$B$37,Summary!$B$36))</x:f>
        <x:v>5</x:v>
      </x:c>
      <x:c r="P53" s="109" t="str">
        <x:f>IF(K53="","",K53+O53)</x:f>
      </x:c>
      <x:c r="Q53" s="111" t="str">
        <x:f>IF(P53="","",P53*Summary!$B$35)</x:f>
      </x:c>
      <x:c r="R53" s="112" t="n">
        <x:f>IF(N53="","",IF(N53="Double",Summary!$B$39,Summary!$B$38))</x:f>
        <x:v>1.6</x:v>
      </x:c>
      <x:c r="S53" s="113" t="str">
        <x:f>IF(Q53="","",Q53*R53)</x:f>
      </x:c>
    </x:row>
    <x:row r="54">
      <x:c r="A54" s="107"/>
      <x:c r="B54" s="108"/>
      <x:c r="C54" s="108"/>
      <x:c r="D54" s="108"/>
      <x:c r="E54" s="108"/>
      <x:c r="F54" s="108"/>
      <x:c r="G54" s="108"/>
      <x:c r="H54" s="108"/>
      <x:c r="I54" s="108"/>
      <x:c r="J54" s="108"/>
      <x:c r="K54" s="109"/>
      <x:c r="L54" s="110"/>
      <x:c r="M54" s="109" t="str">
        <x:f>IF(OR(K54="",L54=""),"",K54*L54)</x:f>
      </x:c>
      <x:c r="N54" s="108" t="str">
        <x:f>IF(I54="","Single",IF(LEFT(I54,2)="2x","Double","Single"))</x:f>
        <x:v>Single</x:v>
      </x:c>
      <x:c r="O54" s="109" t="n">
        <x:f>IF(N54="","",IF(N54="Double",Summary!$B$37,Summary!$B$36))</x:f>
        <x:v>5</x:v>
      </x:c>
      <x:c r="P54" s="109" t="str">
        <x:f>IF(K54="","",K54+O54)</x:f>
      </x:c>
      <x:c r="Q54" s="111" t="str">
        <x:f>IF(P54="","",P54*Summary!$B$35)</x:f>
      </x:c>
      <x:c r="R54" s="112" t="n">
        <x:f>IF(N54="","",IF(N54="Double",Summary!$B$39,Summary!$B$38))</x:f>
        <x:v>1.6</x:v>
      </x:c>
      <x:c r="S54" s="113" t="str">
        <x:f>IF(Q54="","",Q54*R54)</x:f>
      </x:c>
    </x:row>
    <x:row r="55">
      <x:c r="A55" s="107"/>
      <x:c r="B55" s="108"/>
      <x:c r="C55" s="108"/>
      <x:c r="D55" s="108"/>
      <x:c r="E55" s="108"/>
      <x:c r="F55" s="108"/>
      <x:c r="G55" s="108"/>
      <x:c r="H55" s="108"/>
      <x:c r="I55" s="108"/>
      <x:c r="J55" s="108"/>
      <x:c r="K55" s="109"/>
      <x:c r="L55" s="110"/>
      <x:c r="M55" s="109" t="str">
        <x:f>IF(OR(K55="",L55=""),"",K55*L55)</x:f>
      </x:c>
      <x:c r="N55" s="108" t="str">
        <x:f>IF(I55="","Single",IF(LEFT(I55,2)="2x","Double","Single"))</x:f>
        <x:v>Single</x:v>
      </x:c>
      <x:c r="O55" s="109" t="n">
        <x:f>IF(N55="","",IF(N55="Double",Summary!$B$37,Summary!$B$36))</x:f>
        <x:v>5</x:v>
      </x:c>
      <x:c r="P55" s="109" t="str">
        <x:f>IF(K55="","",K55+O55)</x:f>
      </x:c>
      <x:c r="Q55" s="111" t="str">
        <x:f>IF(P55="","",P55*Summary!$B$35)</x:f>
      </x:c>
      <x:c r="R55" s="112" t="n">
        <x:f>IF(N55="","",IF(N55="Double",Summary!$B$39,Summary!$B$38))</x:f>
        <x:v>1.6</x:v>
      </x:c>
      <x:c r="S55" s="113" t="str">
        <x:f>IF(Q55="","",Q55*R55)</x:f>
      </x:c>
    </x:row>
    <x:row r="56">
      <x:c r="A56" s="107"/>
      <x:c r="B56" s="108"/>
      <x:c r="C56" s="108"/>
      <x:c r="D56" s="108"/>
      <x:c r="E56" s="108"/>
      <x:c r="F56" s="108"/>
      <x:c r="G56" s="108"/>
      <x:c r="H56" s="108"/>
      <x:c r="I56" s="108"/>
      <x:c r="J56" s="108"/>
      <x:c r="K56" s="109"/>
      <x:c r="L56" s="110"/>
      <x:c r="M56" s="109" t="str">
        <x:f>IF(OR(K56="",L56=""),"",K56*L56)</x:f>
      </x:c>
      <x:c r="N56" s="108" t="str">
        <x:f>IF(I56="","Single",IF(LEFT(I56,2)="2x","Double","Single"))</x:f>
        <x:v>Single</x:v>
      </x:c>
      <x:c r="O56" s="109" t="n">
        <x:f>IF(N56="","",IF(N56="Double",Summary!$B$37,Summary!$B$36))</x:f>
        <x:v>5</x:v>
      </x:c>
      <x:c r="P56" s="109" t="str">
        <x:f>IF(K56="","",K56+O56)</x:f>
      </x:c>
      <x:c r="Q56" s="111" t="str">
        <x:f>IF(P56="","",P56*Summary!$B$35)</x:f>
      </x:c>
      <x:c r="R56" s="112" t="n">
        <x:f>IF(N56="","",IF(N56="Double",Summary!$B$39,Summary!$B$38))</x:f>
        <x:v>1.6</x:v>
      </x:c>
      <x:c r="S56" s="113" t="str">
        <x:f>IF(Q56="","",Q56*R56)</x:f>
      </x:c>
    </x:row>
    <x:row r="57">
      <x:c r="A57" s="107"/>
      <x:c r="B57" s="108"/>
      <x:c r="C57" s="108"/>
      <x:c r="D57" s="108"/>
      <x:c r="E57" s="108"/>
      <x:c r="F57" s="108"/>
      <x:c r="G57" s="108"/>
      <x:c r="H57" s="108"/>
      <x:c r="I57" s="108"/>
      <x:c r="J57" s="108"/>
      <x:c r="K57" s="109"/>
      <x:c r="L57" s="110"/>
      <x:c r="M57" s="109" t="str">
        <x:f>IF(OR(K57="",L57=""),"",K57*L57)</x:f>
      </x:c>
      <x:c r="N57" s="108" t="str">
        <x:f>IF(I57="","Single",IF(LEFT(I57,2)="2x","Double","Single"))</x:f>
        <x:v>Single</x:v>
      </x:c>
      <x:c r="O57" s="109" t="n">
        <x:f>IF(N57="","",IF(N57="Double",Summary!$B$37,Summary!$B$36))</x:f>
        <x:v>5</x:v>
      </x:c>
      <x:c r="P57" s="109" t="str">
        <x:f>IF(K57="","",K57+O57)</x:f>
      </x:c>
      <x:c r="Q57" s="111" t="str">
        <x:f>IF(P57="","",P57*Summary!$B$35)</x:f>
      </x:c>
      <x:c r="R57" s="112" t="n">
        <x:f>IF(N57="","",IF(N57="Double",Summary!$B$39,Summary!$B$38))</x:f>
        <x:v>1.6</x:v>
      </x:c>
      <x:c r="S57" s="113" t="str">
        <x:f>IF(Q57="","",Q57*R57)</x:f>
      </x:c>
    </x:row>
    <x:row r="58">
      <x:c r="A58" s="107"/>
      <x:c r="B58" s="108"/>
      <x:c r="C58" s="108"/>
      <x:c r="D58" s="108"/>
      <x:c r="E58" s="108"/>
      <x:c r="F58" s="108"/>
      <x:c r="G58" s="108"/>
      <x:c r="H58" s="108"/>
      <x:c r="I58" s="108"/>
      <x:c r="J58" s="108"/>
      <x:c r="K58" s="109"/>
      <x:c r="L58" s="110"/>
      <x:c r="M58" s="109" t="str">
        <x:f>IF(OR(K58="",L58=""),"",K58*L58)</x:f>
      </x:c>
      <x:c r="N58" s="108" t="str">
        <x:f>IF(I58="","Single",IF(LEFT(I58,2)="2x","Double","Single"))</x:f>
        <x:v>Single</x:v>
      </x:c>
      <x:c r="O58" s="109" t="n">
        <x:f>IF(N58="","",IF(N58="Double",Summary!$B$37,Summary!$B$36))</x:f>
        <x:v>5</x:v>
      </x:c>
      <x:c r="P58" s="109" t="str">
        <x:f>IF(K58="","",K58+O58)</x:f>
      </x:c>
      <x:c r="Q58" s="111" t="str">
        <x:f>IF(P58="","",P58*Summary!$B$35)</x:f>
      </x:c>
      <x:c r="R58" s="112" t="n">
        <x:f>IF(N58="","",IF(N58="Double",Summary!$B$39,Summary!$B$38))</x:f>
        <x:v>1.6</x:v>
      </x:c>
      <x:c r="S58" s="113" t="str">
        <x:f>IF(Q58="","",Q58*R58)</x:f>
      </x:c>
    </x:row>
    <x:row r="59">
      <x:c r="A59" s="107"/>
      <x:c r="B59" s="108"/>
      <x:c r="C59" s="108"/>
      <x:c r="D59" s="108"/>
      <x:c r="E59" s="108"/>
      <x:c r="F59" s="108"/>
      <x:c r="G59" s="108"/>
      <x:c r="H59" s="108"/>
      <x:c r="I59" s="108"/>
      <x:c r="J59" s="108"/>
      <x:c r="K59" s="109"/>
      <x:c r="L59" s="110"/>
      <x:c r="M59" s="109" t="str">
        <x:f>IF(OR(K59="",L59=""),"",K59*L59)</x:f>
      </x:c>
      <x:c r="N59" s="108" t="str">
        <x:f>IF(I59="","Single",IF(LEFT(I59,2)="2x","Double","Single"))</x:f>
        <x:v>Single</x:v>
      </x:c>
      <x:c r="O59" s="109" t="n">
        <x:f>IF(N59="","",IF(N59="Double",Summary!$B$37,Summary!$B$36))</x:f>
        <x:v>5</x:v>
      </x:c>
      <x:c r="P59" s="109" t="str">
        <x:f>IF(K59="","",K59+O59)</x:f>
      </x:c>
      <x:c r="Q59" s="111" t="str">
        <x:f>IF(P59="","",P59*Summary!$B$35)</x:f>
      </x:c>
      <x:c r="R59" s="112" t="n">
        <x:f>IF(N59="","",IF(N59="Double",Summary!$B$39,Summary!$B$38))</x:f>
        <x:v>1.6</x:v>
      </x:c>
      <x:c r="S59" s="113" t="str">
        <x:f>IF(Q59="","",Q59*R59)</x:f>
      </x:c>
    </x:row>
    <x:row r="60">
      <x:c r="A60" s="107"/>
      <x:c r="B60" s="108"/>
      <x:c r="C60" s="108"/>
      <x:c r="D60" s="108"/>
      <x:c r="E60" s="108"/>
      <x:c r="F60" s="108"/>
      <x:c r="G60" s="108"/>
      <x:c r="H60" s="108"/>
      <x:c r="I60" s="108"/>
      <x:c r="J60" s="108"/>
      <x:c r="K60" s="109"/>
      <x:c r="L60" s="110"/>
      <x:c r="M60" s="109" t="str">
        <x:f>IF(OR(K60="",L60=""),"",K60*L60)</x:f>
      </x:c>
      <x:c r="N60" s="108" t="str">
        <x:f>IF(I60="","Single",IF(LEFT(I60,2)="2x","Double","Single"))</x:f>
        <x:v>Single</x:v>
      </x:c>
      <x:c r="O60" s="109" t="n">
        <x:f>IF(N60="","",IF(N60="Double",Summary!$B$37,Summary!$B$36))</x:f>
        <x:v>5</x:v>
      </x:c>
      <x:c r="P60" s="109" t="str">
        <x:f>IF(K60="","",K60+O60)</x:f>
      </x:c>
      <x:c r="Q60" s="111" t="str">
        <x:f>IF(P60="","",P60*Summary!$B$35)</x:f>
      </x:c>
      <x:c r="R60" s="112" t="n">
        <x:f>IF(N60="","",IF(N60="Double",Summary!$B$39,Summary!$B$38))</x:f>
        <x:v>1.6</x:v>
      </x:c>
      <x:c r="S60" s="113" t="str">
        <x:f>IF(Q60="","",Q60*R60)</x:f>
      </x:c>
    </x:row>
    <x:row r="61">
      <x:c r="A61" s="107"/>
      <x:c r="B61" s="108"/>
      <x:c r="C61" s="108"/>
      <x:c r="D61" s="108"/>
      <x:c r="E61" s="108"/>
      <x:c r="F61" s="108"/>
      <x:c r="G61" s="108"/>
      <x:c r="H61" s="108"/>
      <x:c r="I61" s="108"/>
      <x:c r="J61" s="108"/>
      <x:c r="K61" s="109"/>
      <x:c r="L61" s="110"/>
      <x:c r="M61" s="109" t="str">
        <x:f>IF(OR(K61="",L61=""),"",K61*L61)</x:f>
      </x:c>
      <x:c r="N61" s="108" t="str">
        <x:f>IF(I61="","Single",IF(LEFT(I61,2)="2x","Double","Single"))</x:f>
        <x:v>Single</x:v>
      </x:c>
      <x:c r="O61" s="109" t="n">
        <x:f>IF(N61="","",IF(N61="Double",Summary!$B$37,Summary!$B$36))</x:f>
        <x:v>5</x:v>
      </x:c>
      <x:c r="P61" s="109" t="str">
        <x:f>IF(K61="","",K61+O61)</x:f>
      </x:c>
      <x:c r="Q61" s="111" t="str">
        <x:f>IF(P61="","",P61*Summary!$B$35)</x:f>
      </x:c>
      <x:c r="R61" s="112" t="n">
        <x:f>IF(N61="","",IF(N61="Double",Summary!$B$39,Summary!$B$38))</x:f>
        <x:v>1.6</x:v>
      </x:c>
      <x:c r="S61" s="113" t="str">
        <x:f>IF(Q61="","",Q61*R61)</x:f>
      </x:c>
    </x:row>
    <x:row r="62">
      <x:c r="A62" s="107"/>
      <x:c r="B62" s="108"/>
      <x:c r="C62" s="108"/>
      <x:c r="D62" s="108"/>
      <x:c r="E62" s="108"/>
      <x:c r="F62" s="108"/>
      <x:c r="G62" s="108"/>
      <x:c r="H62" s="108"/>
      <x:c r="I62" s="108"/>
      <x:c r="J62" s="108"/>
      <x:c r="K62" s="109"/>
      <x:c r="L62" s="110"/>
      <x:c r="M62" s="109" t="str">
        <x:f>IF(OR(K62="",L62=""),"",K62*L62)</x:f>
      </x:c>
      <x:c r="N62" s="108" t="str">
        <x:f>IF(I62="","Single",IF(LEFT(I62,2)="2x","Double","Single"))</x:f>
        <x:v>Single</x:v>
      </x:c>
      <x:c r="O62" s="109" t="n">
        <x:f>IF(N62="","",IF(N62="Double",Summary!$B$37,Summary!$B$36))</x:f>
        <x:v>5</x:v>
      </x:c>
      <x:c r="P62" s="109" t="str">
        <x:f>IF(K62="","",K62+O62)</x:f>
      </x:c>
      <x:c r="Q62" s="111" t="str">
        <x:f>IF(P62="","",P62*Summary!$B$35)</x:f>
      </x:c>
      <x:c r="R62" s="112" t="n">
        <x:f>IF(N62="","",IF(N62="Double",Summary!$B$39,Summary!$B$38))</x:f>
        <x:v>1.6</x:v>
      </x:c>
      <x:c r="S62" s="113" t="str">
        <x:f>IF(Q62="","",Q62*R62)</x:f>
      </x:c>
    </x:row>
    <x:row r="63">
      <x:c r="A63" s="107"/>
      <x:c r="B63" s="108"/>
      <x:c r="C63" s="108"/>
      <x:c r="D63" s="108"/>
      <x:c r="E63" s="108"/>
      <x:c r="F63" s="108"/>
      <x:c r="G63" s="108"/>
      <x:c r="H63" s="108"/>
      <x:c r="I63" s="108"/>
      <x:c r="J63" s="108"/>
      <x:c r="K63" s="109"/>
      <x:c r="L63" s="110"/>
      <x:c r="M63" s="109" t="str">
        <x:f>IF(OR(K63="",L63=""),"",K63*L63)</x:f>
      </x:c>
      <x:c r="N63" s="108" t="str">
        <x:f>IF(I63="","Single",IF(LEFT(I63,2)="2x","Double","Single"))</x:f>
        <x:v>Single</x:v>
      </x:c>
      <x:c r="O63" s="109" t="n">
        <x:f>IF(N63="","",IF(N63="Double",Summary!$B$37,Summary!$B$36))</x:f>
        <x:v>5</x:v>
      </x:c>
      <x:c r="P63" s="109" t="str">
        <x:f>IF(K63="","",K63+O63)</x:f>
      </x:c>
      <x:c r="Q63" s="111" t="str">
        <x:f>IF(P63="","",P63*Summary!$B$35)</x:f>
      </x:c>
      <x:c r="R63" s="112" t="n">
        <x:f>IF(N63="","",IF(N63="Double",Summary!$B$39,Summary!$B$38))</x:f>
        <x:v>1.6</x:v>
      </x:c>
      <x:c r="S63" s="113" t="str">
        <x:f>IF(Q63="","",Q63*R63)</x:f>
      </x:c>
    </x:row>
    <x:row r="64">
      <x:c r="A64" s="107"/>
      <x:c r="B64" s="108"/>
      <x:c r="C64" s="108"/>
      <x:c r="D64" s="108"/>
      <x:c r="E64" s="108"/>
      <x:c r="F64" s="108"/>
      <x:c r="G64" s="108"/>
      <x:c r="H64" s="108"/>
      <x:c r="I64" s="108"/>
      <x:c r="J64" s="108"/>
      <x:c r="K64" s="109"/>
      <x:c r="L64" s="110"/>
      <x:c r="M64" s="109" t="str">
        <x:f>IF(OR(K64="",L64=""),"",K64*L64)</x:f>
      </x:c>
      <x:c r="N64" s="108" t="str">
        <x:f>IF(I64="","Single",IF(LEFT(I64,2)="2x","Double","Single"))</x:f>
        <x:v>Single</x:v>
      </x:c>
      <x:c r="O64" s="109" t="n">
        <x:f>IF(N64="","",IF(N64="Double",Summary!$B$37,Summary!$B$36))</x:f>
        <x:v>5</x:v>
      </x:c>
      <x:c r="P64" s="109" t="str">
        <x:f>IF(K64="","",K64+O64)</x:f>
      </x:c>
      <x:c r="Q64" s="111" t="str">
        <x:f>IF(P64="","",P64*Summary!$B$35)</x:f>
      </x:c>
      <x:c r="R64" s="112" t="n">
        <x:f>IF(N64="","",IF(N64="Double",Summary!$B$39,Summary!$B$38))</x:f>
        <x:v>1.6</x:v>
      </x:c>
      <x:c r="S64" s="113" t="str">
        <x:f>IF(Q64="","",Q64*R64)</x:f>
      </x:c>
    </x:row>
    <x:row r="65">
      <x:c r="A65" s="107"/>
      <x:c r="B65" s="108"/>
      <x:c r="C65" s="108"/>
      <x:c r="D65" s="108"/>
      <x:c r="E65" s="108"/>
      <x:c r="F65" s="108"/>
      <x:c r="G65" s="108"/>
      <x:c r="H65" s="108"/>
      <x:c r="I65" s="108"/>
      <x:c r="J65" s="108"/>
      <x:c r="K65" s="109"/>
      <x:c r="L65" s="110"/>
      <x:c r="M65" s="109" t="str">
        <x:f>IF(OR(K65="",L65=""),"",K65*L65)</x:f>
      </x:c>
      <x:c r="N65" s="108" t="str">
        <x:f>IF(I65="","Single",IF(LEFT(I65,2)="2x","Double","Single"))</x:f>
        <x:v>Single</x:v>
      </x:c>
      <x:c r="O65" s="109" t="n">
        <x:f>IF(N65="","",IF(N65="Double",Summary!$B$37,Summary!$B$36))</x:f>
        <x:v>5</x:v>
      </x:c>
      <x:c r="P65" s="109" t="str">
        <x:f>IF(K65="","",K65+O65)</x:f>
      </x:c>
      <x:c r="Q65" s="111" t="str">
        <x:f>IF(P65="","",P65*Summary!$B$35)</x:f>
      </x:c>
      <x:c r="R65" s="112" t="n">
        <x:f>IF(N65="","",IF(N65="Double",Summary!$B$39,Summary!$B$38))</x:f>
        <x:v>1.6</x:v>
      </x:c>
      <x:c r="S65" s="113" t="str">
        <x:f>IF(Q65="","",Q65*R65)</x:f>
      </x:c>
    </x:row>
    <x:row r="66">
      <x:c r="A66" s="107"/>
      <x:c r="B66" s="108"/>
      <x:c r="C66" s="108"/>
      <x:c r="D66" s="108"/>
      <x:c r="E66" s="108"/>
      <x:c r="F66" s="108"/>
      <x:c r="G66" s="108"/>
      <x:c r="H66" s="108"/>
      <x:c r="I66" s="108"/>
      <x:c r="J66" s="108"/>
      <x:c r="K66" s="109"/>
      <x:c r="L66" s="110"/>
      <x:c r="M66" s="109" t="str">
        <x:f>IF(OR(K66="",L66=""),"",K66*L66)</x:f>
      </x:c>
      <x:c r="N66" s="108" t="str">
        <x:f>IF(I66="","Single",IF(LEFT(I66,2)="2x","Double","Single"))</x:f>
        <x:v>Single</x:v>
      </x:c>
      <x:c r="O66" s="109" t="n">
        <x:f>IF(N66="","",IF(N66="Double",Summary!$B$37,Summary!$B$36))</x:f>
        <x:v>5</x:v>
      </x:c>
      <x:c r="P66" s="109" t="str">
        <x:f>IF(K66="","",K66+O66)</x:f>
      </x:c>
      <x:c r="Q66" s="111" t="str">
        <x:f>IF(P66="","",P66*Summary!$B$35)</x:f>
      </x:c>
      <x:c r="R66" s="112" t="n">
        <x:f>IF(N66="","",IF(N66="Double",Summary!$B$39,Summary!$B$38))</x:f>
        <x:v>1.6</x:v>
      </x:c>
      <x:c r="S66" s="113" t="str">
        <x:f>IF(Q66="","",Q66*R66)</x:f>
      </x:c>
    </x:row>
    <x:row r="67">
      <x:c r="A67" s="107"/>
      <x:c r="B67" s="108"/>
      <x:c r="C67" s="108"/>
      <x:c r="D67" s="108"/>
      <x:c r="E67" s="108"/>
      <x:c r="F67" s="108"/>
      <x:c r="G67" s="108"/>
      <x:c r="H67" s="108"/>
      <x:c r="I67" s="108"/>
      <x:c r="J67" s="108"/>
      <x:c r="K67" s="109"/>
      <x:c r="L67" s="110"/>
      <x:c r="M67" s="109" t="str">
        <x:f>IF(OR(K67="",L67=""),"",K67*L67)</x:f>
      </x:c>
      <x:c r="N67" s="108" t="str">
        <x:f>IF(I67="","Single",IF(LEFT(I67,2)="2x","Double","Single"))</x:f>
        <x:v>Single</x:v>
      </x:c>
      <x:c r="O67" s="109" t="n">
        <x:f>IF(N67="","",IF(N67="Double",Summary!$B$37,Summary!$B$36))</x:f>
        <x:v>5</x:v>
      </x:c>
      <x:c r="P67" s="109" t="str">
        <x:f>IF(K67="","",K67+O67)</x:f>
      </x:c>
      <x:c r="Q67" s="111" t="str">
        <x:f>IF(P67="","",P67*Summary!$B$35)</x:f>
      </x:c>
      <x:c r="R67" s="112" t="n">
        <x:f>IF(N67="","",IF(N67="Double",Summary!$B$39,Summary!$B$38))</x:f>
        <x:v>1.6</x:v>
      </x:c>
      <x:c r="S67" s="113" t="str">
        <x:f>IF(Q67="","",Q67*R67)</x:f>
      </x:c>
    </x:row>
    <x:row r="68">
      <x:c r="A68" s="107"/>
      <x:c r="B68" s="108"/>
      <x:c r="C68" s="108"/>
      <x:c r="D68" s="108"/>
      <x:c r="E68" s="108"/>
      <x:c r="F68" s="108"/>
      <x:c r="G68" s="108"/>
      <x:c r="H68" s="108"/>
      <x:c r="I68" s="108"/>
      <x:c r="J68" s="108"/>
      <x:c r="K68" s="109"/>
      <x:c r="L68" s="110"/>
      <x:c r="M68" s="109" t="str">
        <x:f>IF(OR(K68="",L68=""),"",K68*L68)</x:f>
      </x:c>
      <x:c r="N68" s="108" t="str">
        <x:f>IF(I68="","Single",IF(LEFT(I68,2)="2x","Double","Single"))</x:f>
        <x:v>Single</x:v>
      </x:c>
      <x:c r="O68" s="109" t="n">
        <x:f>IF(N68="","",IF(N68="Double",Summary!$B$37,Summary!$B$36))</x:f>
        <x:v>5</x:v>
      </x:c>
      <x:c r="P68" s="109" t="str">
        <x:f>IF(K68="","",K68+O68)</x:f>
      </x:c>
      <x:c r="Q68" s="111" t="str">
        <x:f>IF(P68="","",P68*Summary!$B$35)</x:f>
      </x:c>
      <x:c r="R68" s="112" t="n">
        <x:f>IF(N68="","",IF(N68="Double",Summary!$B$39,Summary!$B$38))</x:f>
        <x:v>1.6</x:v>
      </x:c>
      <x:c r="S68" s="113" t="str">
        <x:f>IF(Q68="","",Q68*R68)</x:f>
      </x:c>
    </x:row>
    <x:row r="69">
      <x:c r="A69" s="107"/>
      <x:c r="B69" s="108"/>
      <x:c r="C69" s="108"/>
      <x:c r="D69" s="108"/>
      <x:c r="E69" s="108"/>
      <x:c r="F69" s="108"/>
      <x:c r="G69" s="108"/>
      <x:c r="H69" s="108"/>
      <x:c r="I69" s="108"/>
      <x:c r="J69" s="108"/>
      <x:c r="K69" s="109"/>
      <x:c r="L69" s="110"/>
      <x:c r="M69" s="109" t="str">
        <x:f>IF(OR(K69="",L69=""),"",K69*L69)</x:f>
      </x:c>
      <x:c r="N69" s="108" t="str">
        <x:f>IF(I69="","Single",IF(LEFT(I69,2)="2x","Double","Single"))</x:f>
        <x:v>Single</x:v>
      </x:c>
      <x:c r="O69" s="109" t="n">
        <x:f>IF(N69="","",IF(N69="Double",Summary!$B$37,Summary!$B$36))</x:f>
        <x:v>5</x:v>
      </x:c>
      <x:c r="P69" s="109" t="str">
        <x:f>IF(K69="","",K69+O69)</x:f>
      </x:c>
      <x:c r="Q69" s="111" t="str">
        <x:f>IF(P69="","",P69*Summary!$B$35)</x:f>
      </x:c>
      <x:c r="R69" s="112" t="n">
        <x:f>IF(N69="","",IF(N69="Double",Summary!$B$39,Summary!$B$38))</x:f>
        <x:v>1.6</x:v>
      </x:c>
      <x:c r="S69" s="113" t="str">
        <x:f>IF(Q69="","",Q69*R69)</x:f>
      </x:c>
    </x:row>
    <x:row r="70">
      <x:c r="A70" s="107"/>
      <x:c r="B70" s="108"/>
      <x:c r="C70" s="108"/>
      <x:c r="D70" s="108"/>
      <x:c r="E70" s="108"/>
      <x:c r="F70" s="108"/>
      <x:c r="G70" s="108"/>
      <x:c r="H70" s="108"/>
      <x:c r="I70" s="108"/>
      <x:c r="J70" s="108"/>
      <x:c r="K70" s="109"/>
      <x:c r="L70" s="110"/>
      <x:c r="M70" s="109" t="str">
        <x:f>IF(OR(K70="",L70=""),"",K70*L70)</x:f>
      </x:c>
      <x:c r="N70" s="108" t="str">
        <x:f>IF(I70="","Single",IF(LEFT(I70,2)="2x","Double","Single"))</x:f>
        <x:v>Single</x:v>
      </x:c>
      <x:c r="O70" s="109" t="n">
        <x:f>IF(N70="","",IF(N70="Double",Summary!$B$37,Summary!$B$36))</x:f>
        <x:v>5</x:v>
      </x:c>
      <x:c r="P70" s="109" t="str">
        <x:f>IF(K70="","",K70+O70)</x:f>
      </x:c>
      <x:c r="Q70" s="111" t="str">
        <x:f>IF(P70="","",P70*Summary!$B$35)</x:f>
      </x:c>
      <x:c r="R70" s="112" t="n">
        <x:f>IF(N70="","",IF(N70="Double",Summary!$B$39,Summary!$B$38))</x:f>
        <x:v>1.6</x:v>
      </x:c>
      <x:c r="S70" s="113" t="str">
        <x:f>IF(Q70="","",Q70*R70)</x:f>
      </x:c>
    </x:row>
    <x:row r="71">
      <x:c r="A71" s="107"/>
      <x:c r="B71" s="108"/>
      <x:c r="C71" s="108"/>
      <x:c r="D71" s="108"/>
      <x:c r="E71" s="108"/>
      <x:c r="F71" s="108"/>
      <x:c r="G71" s="108"/>
      <x:c r="H71" s="108"/>
      <x:c r="I71" s="108"/>
      <x:c r="J71" s="108"/>
      <x:c r="K71" s="109"/>
      <x:c r="L71" s="110"/>
      <x:c r="M71" s="109" t="str">
        <x:f>IF(OR(K71="",L71=""),"",K71*L71)</x:f>
      </x:c>
      <x:c r="N71" s="108" t="str">
        <x:f>IF(I71="","Single",IF(LEFT(I71,2)="2x","Double","Single"))</x:f>
        <x:v>Single</x:v>
      </x:c>
      <x:c r="O71" s="109" t="n">
        <x:f>IF(N71="","",IF(N71="Double",Summary!$B$37,Summary!$B$36))</x:f>
        <x:v>5</x:v>
      </x:c>
      <x:c r="P71" s="109" t="str">
        <x:f>IF(K71="","",K71+O71)</x:f>
      </x:c>
      <x:c r="Q71" s="111" t="str">
        <x:f>IF(P71="","",P71*Summary!$B$35)</x:f>
      </x:c>
      <x:c r="R71" s="112" t="n">
        <x:f>IF(N71="","",IF(N71="Double",Summary!$B$39,Summary!$B$38))</x:f>
        <x:v>1.6</x:v>
      </x:c>
      <x:c r="S71" s="113" t="str">
        <x:f>IF(Q71="","",Q71*R71)</x:f>
      </x:c>
    </x:row>
    <x:row r="72">
      <x:c r="A72" s="107"/>
      <x:c r="B72" s="108"/>
      <x:c r="C72" s="108"/>
      <x:c r="D72" s="108"/>
      <x:c r="E72" s="108"/>
      <x:c r="F72" s="108"/>
      <x:c r="G72" s="108"/>
      <x:c r="H72" s="108"/>
      <x:c r="I72" s="108"/>
      <x:c r="J72" s="108"/>
      <x:c r="K72" s="109"/>
      <x:c r="L72" s="110"/>
      <x:c r="M72" s="109" t="str">
        <x:f>IF(OR(K72="",L72=""),"",K72*L72)</x:f>
      </x:c>
      <x:c r="N72" s="108" t="str">
        <x:f>IF(I72="","Single",IF(LEFT(I72,2)="2x","Double","Single"))</x:f>
        <x:v>Single</x:v>
      </x:c>
      <x:c r="O72" s="109" t="n">
        <x:f>IF(N72="","",IF(N72="Double",Summary!$B$37,Summary!$B$36))</x:f>
        <x:v>5</x:v>
      </x:c>
      <x:c r="P72" s="109" t="str">
        <x:f>IF(K72="","",K72+O72)</x:f>
      </x:c>
      <x:c r="Q72" s="111" t="str">
        <x:f>IF(P72="","",P72*Summary!$B$35)</x:f>
      </x:c>
      <x:c r="R72" s="112" t="n">
        <x:f>IF(N72="","",IF(N72="Double",Summary!$B$39,Summary!$B$38))</x:f>
        <x:v>1.6</x:v>
      </x:c>
      <x:c r="S72" s="113" t="str">
        <x:f>IF(Q72="","",Q72*R72)</x:f>
      </x:c>
    </x:row>
    <x:row r="73">
      <x:c r="A73" s="107"/>
      <x:c r="B73" s="108"/>
      <x:c r="C73" s="108"/>
      <x:c r="D73" s="108"/>
      <x:c r="E73" s="108"/>
      <x:c r="F73" s="108"/>
      <x:c r="G73" s="108"/>
      <x:c r="H73" s="108"/>
      <x:c r="I73" s="108"/>
      <x:c r="J73" s="108"/>
      <x:c r="K73" s="109"/>
      <x:c r="L73" s="110"/>
      <x:c r="M73" s="109" t="str">
        <x:f>IF(OR(K73="",L73=""),"",K73*L73)</x:f>
      </x:c>
      <x:c r="N73" s="108" t="str">
        <x:f>IF(I73="","Single",IF(LEFT(I73,2)="2x","Double","Single"))</x:f>
        <x:v>Single</x:v>
      </x:c>
      <x:c r="O73" s="109" t="n">
        <x:f>IF(N73="","",IF(N73="Double",Summary!$B$37,Summary!$B$36))</x:f>
        <x:v>5</x:v>
      </x:c>
      <x:c r="P73" s="109" t="str">
        <x:f>IF(K73="","",K73+O73)</x:f>
      </x:c>
      <x:c r="Q73" s="111" t="str">
        <x:f>IF(P73="","",P73*Summary!$B$35)</x:f>
      </x:c>
      <x:c r="R73" s="112" t="n">
        <x:f>IF(N73="","",IF(N73="Double",Summary!$B$39,Summary!$B$38))</x:f>
        <x:v>1.6</x:v>
      </x:c>
      <x:c r="S73" s="113" t="str">
        <x:f>IF(Q73="","",Q73*R73)</x:f>
      </x:c>
    </x:row>
    <x:row r="74">
      <x:c r="A74" s="107"/>
      <x:c r="B74" s="108"/>
      <x:c r="C74" s="108"/>
      <x:c r="D74" s="108"/>
      <x:c r="E74" s="108"/>
      <x:c r="F74" s="108"/>
      <x:c r="G74" s="108"/>
      <x:c r="H74" s="108"/>
      <x:c r="I74" s="108"/>
      <x:c r="J74" s="108"/>
      <x:c r="K74" s="109"/>
      <x:c r="L74" s="110"/>
      <x:c r="M74" s="109" t="str">
        <x:f>IF(OR(K74="",L74=""),"",K74*L74)</x:f>
      </x:c>
      <x:c r="N74" s="108" t="str">
        <x:f>IF(I74="","Single",IF(LEFT(I74,2)="2x","Double","Single"))</x:f>
        <x:v>Single</x:v>
      </x:c>
      <x:c r="O74" s="109" t="n">
        <x:f>IF(N74="","",IF(N74="Double",Summary!$B$37,Summary!$B$36))</x:f>
        <x:v>5</x:v>
      </x:c>
      <x:c r="P74" s="109" t="str">
        <x:f>IF(K74="","",K74+O74)</x:f>
      </x:c>
      <x:c r="Q74" s="111" t="str">
        <x:f>IF(P74="","",P74*Summary!$B$35)</x:f>
      </x:c>
      <x:c r="R74" s="112" t="n">
        <x:f>IF(N74="","",IF(N74="Double",Summary!$B$39,Summary!$B$38))</x:f>
        <x:v>1.6</x:v>
      </x:c>
      <x:c r="S74" s="113" t="str">
        <x:f>IF(Q74="","",Q74*R74)</x:f>
      </x:c>
    </x:row>
    <x:row r="75">
      <x:c r="A75" s="107"/>
      <x:c r="B75" s="108"/>
      <x:c r="C75" s="108"/>
      <x:c r="D75" s="108"/>
      <x:c r="E75" s="108"/>
      <x:c r="F75" s="108"/>
      <x:c r="G75" s="108"/>
      <x:c r="H75" s="108"/>
      <x:c r="I75" s="108"/>
      <x:c r="J75" s="108"/>
      <x:c r="K75" s="109"/>
      <x:c r="L75" s="110"/>
      <x:c r="M75" s="109" t="str">
        <x:f>IF(OR(K75="",L75=""),"",K75*L75)</x:f>
      </x:c>
      <x:c r="N75" s="108" t="str">
        <x:f>IF(I75="","Single",IF(LEFT(I75,2)="2x","Double","Single"))</x:f>
        <x:v>Single</x:v>
      </x:c>
      <x:c r="O75" s="109" t="n">
        <x:f>IF(N75="","",IF(N75="Double",Summary!$B$37,Summary!$B$36))</x:f>
        <x:v>5</x:v>
      </x:c>
      <x:c r="P75" s="109" t="str">
        <x:f>IF(K75="","",K75+O75)</x:f>
      </x:c>
      <x:c r="Q75" s="111" t="str">
        <x:f>IF(P75="","",P75*Summary!$B$35)</x:f>
      </x:c>
      <x:c r="R75" s="112" t="n">
        <x:f>IF(N75="","",IF(N75="Double",Summary!$B$39,Summary!$B$38))</x:f>
        <x:v>1.6</x:v>
      </x:c>
      <x:c r="S75" s="113" t="str">
        <x:f>IF(Q75="","",Q75*R75)</x:f>
      </x:c>
    </x:row>
    <x:row r="76">
      <x:c r="A76" s="107"/>
      <x:c r="B76" s="108"/>
      <x:c r="C76" s="108"/>
      <x:c r="D76" s="108"/>
      <x:c r="E76" s="108"/>
      <x:c r="F76" s="108"/>
      <x:c r="G76" s="108"/>
      <x:c r="H76" s="108"/>
      <x:c r="I76" s="108"/>
      <x:c r="J76" s="108"/>
      <x:c r="K76" s="109"/>
      <x:c r="L76" s="110"/>
      <x:c r="M76" s="109" t="str">
        <x:f>IF(OR(K76="",L76=""),"",K76*L76)</x:f>
      </x:c>
      <x:c r="N76" s="108" t="str">
        <x:f>IF(I76="","Single",IF(LEFT(I76,2)="2x","Double","Single"))</x:f>
        <x:v>Single</x:v>
      </x:c>
      <x:c r="O76" s="109" t="n">
        <x:f>IF(N76="","",IF(N76="Double",Summary!$B$37,Summary!$B$36))</x:f>
        <x:v>5</x:v>
      </x:c>
      <x:c r="P76" s="109" t="str">
        <x:f>IF(K76="","",K76+O76)</x:f>
      </x:c>
      <x:c r="Q76" s="111" t="str">
        <x:f>IF(P76="","",P76*Summary!$B$35)</x:f>
      </x:c>
      <x:c r="R76" s="112" t="n">
        <x:f>IF(N76="","",IF(N76="Double",Summary!$B$39,Summary!$B$38))</x:f>
        <x:v>1.6</x:v>
      </x:c>
      <x:c r="S76" s="113" t="str">
        <x:f>IF(Q76="","",Q76*R76)</x:f>
      </x:c>
    </x:row>
    <x:row r="77">
      <x:c r="A77" s="107"/>
      <x:c r="B77" s="108"/>
      <x:c r="C77" s="108"/>
      <x:c r="D77" s="108"/>
      <x:c r="E77" s="108"/>
      <x:c r="F77" s="108"/>
      <x:c r="G77" s="108"/>
      <x:c r="H77" s="108"/>
      <x:c r="I77" s="108"/>
      <x:c r="J77" s="108"/>
      <x:c r="K77" s="109"/>
      <x:c r="L77" s="110"/>
      <x:c r="M77" s="109" t="str">
        <x:f>IF(OR(K77="",L77=""),"",K77*L77)</x:f>
      </x:c>
      <x:c r="N77" s="108" t="str">
        <x:f>IF(I77="","Single",IF(LEFT(I77,2)="2x","Double","Single"))</x:f>
        <x:v>Single</x:v>
      </x:c>
      <x:c r="O77" s="109" t="n">
        <x:f>IF(N77="","",IF(N77="Double",Summary!$B$37,Summary!$B$36))</x:f>
        <x:v>5</x:v>
      </x:c>
      <x:c r="P77" s="109" t="str">
        <x:f>IF(K77="","",K77+O77)</x:f>
      </x:c>
      <x:c r="Q77" s="111" t="str">
        <x:f>IF(P77="","",P77*Summary!$B$35)</x:f>
      </x:c>
      <x:c r="R77" s="112" t="n">
        <x:f>IF(N77="","",IF(N77="Double",Summary!$B$39,Summary!$B$38))</x:f>
        <x:v>1.6</x:v>
      </x:c>
      <x:c r="S77" s="113" t="str">
        <x:f>IF(Q77="","",Q77*R77)</x:f>
      </x:c>
    </x:row>
    <x:row r="78">
      <x:c r="A78" s="107"/>
      <x:c r="B78" s="108"/>
      <x:c r="C78" s="108"/>
      <x:c r="D78" s="108"/>
      <x:c r="E78" s="108"/>
      <x:c r="F78" s="108"/>
      <x:c r="G78" s="108"/>
      <x:c r="H78" s="108"/>
      <x:c r="I78" s="108"/>
      <x:c r="J78" s="108"/>
      <x:c r="K78" s="109"/>
      <x:c r="L78" s="110"/>
      <x:c r="M78" s="109" t="str">
        <x:f>IF(OR(K78="",L78=""),"",K78*L78)</x:f>
      </x:c>
      <x:c r="N78" s="108" t="str">
        <x:f>IF(I78="","Single",IF(LEFT(I78,2)="2x","Double","Single"))</x:f>
        <x:v>Single</x:v>
      </x:c>
      <x:c r="O78" s="109" t="n">
        <x:f>IF(N78="","",IF(N78="Double",Summary!$B$37,Summary!$B$36))</x:f>
        <x:v>5</x:v>
      </x:c>
      <x:c r="P78" s="109" t="str">
        <x:f>IF(K78="","",K78+O78)</x:f>
      </x:c>
      <x:c r="Q78" s="111" t="str">
        <x:f>IF(P78="","",P78*Summary!$B$35)</x:f>
      </x:c>
      <x:c r="R78" s="112" t="n">
        <x:f>IF(N78="","",IF(N78="Double",Summary!$B$39,Summary!$B$38))</x:f>
        <x:v>1.6</x:v>
      </x:c>
      <x:c r="S78" s="113" t="str">
        <x:f>IF(Q78="","",Q78*R78)</x:f>
      </x:c>
    </x:row>
    <x:row r="79">
      <x:c r="A79" s="107"/>
      <x:c r="B79" s="108"/>
      <x:c r="C79" s="108"/>
      <x:c r="D79" s="108"/>
      <x:c r="E79" s="108"/>
      <x:c r="F79" s="108"/>
      <x:c r="G79" s="108"/>
      <x:c r="H79" s="108"/>
      <x:c r="I79" s="108"/>
      <x:c r="J79" s="108"/>
      <x:c r="K79" s="109"/>
      <x:c r="L79" s="110"/>
      <x:c r="M79" s="109" t="str">
        <x:f>IF(OR(K79="",L79=""),"",K79*L79)</x:f>
      </x:c>
      <x:c r="N79" s="108" t="str">
        <x:f>IF(I79="","Single",IF(LEFT(I79,2)="2x","Double","Single"))</x:f>
        <x:v>Single</x:v>
      </x:c>
      <x:c r="O79" s="109" t="n">
        <x:f>IF(N79="","",IF(N79="Double",Summary!$B$37,Summary!$B$36))</x:f>
        <x:v>5</x:v>
      </x:c>
      <x:c r="P79" s="109" t="str">
        <x:f>IF(K79="","",K79+O79)</x:f>
      </x:c>
      <x:c r="Q79" s="111" t="str">
        <x:f>IF(P79="","",P79*Summary!$B$35)</x:f>
      </x:c>
      <x:c r="R79" s="112" t="n">
        <x:f>IF(N79="","",IF(N79="Double",Summary!$B$39,Summary!$B$38))</x:f>
        <x:v>1.6</x:v>
      </x:c>
      <x:c r="S79" s="113" t="str">
        <x:f>IF(Q79="","",Q79*R79)</x:f>
      </x:c>
    </x:row>
    <x:row r="80">
      <x:c r="A80" s="107"/>
      <x:c r="B80" s="108"/>
      <x:c r="C80" s="108"/>
      <x:c r="D80" s="108"/>
      <x:c r="E80" s="108"/>
      <x:c r="F80" s="108"/>
      <x:c r="G80" s="108"/>
      <x:c r="H80" s="108"/>
      <x:c r="I80" s="108"/>
      <x:c r="J80" s="108"/>
      <x:c r="K80" s="109"/>
      <x:c r="L80" s="110"/>
      <x:c r="M80" s="109" t="str">
        <x:f>IF(OR(K80="",L80=""),"",K80*L80)</x:f>
      </x:c>
      <x:c r="N80" s="108" t="str">
        <x:f>IF(I80="","Single",IF(LEFT(I80,2)="2x","Double","Single"))</x:f>
        <x:v>Single</x:v>
      </x:c>
      <x:c r="O80" s="109" t="n">
        <x:f>IF(N80="","",IF(N80="Double",Summary!$B$37,Summary!$B$36))</x:f>
        <x:v>5</x:v>
      </x:c>
      <x:c r="P80" s="109" t="str">
        <x:f>IF(K80="","",K80+O80)</x:f>
      </x:c>
      <x:c r="Q80" s="111" t="str">
        <x:f>IF(P80="","",P80*Summary!$B$35)</x:f>
      </x:c>
      <x:c r="R80" s="112" t="n">
        <x:f>IF(N80="","",IF(N80="Double",Summary!$B$39,Summary!$B$38))</x:f>
        <x:v>1.6</x:v>
      </x:c>
      <x:c r="S80" s="113" t="str">
        <x:f>IF(Q80="","",Q80*R80)</x:f>
      </x:c>
    </x:row>
    <x:row r="81">
      <x:c r="A81" s="107"/>
      <x:c r="B81" s="108"/>
      <x:c r="C81" s="108"/>
      <x:c r="D81" s="108"/>
      <x:c r="E81" s="108"/>
      <x:c r="F81" s="108"/>
      <x:c r="G81" s="108"/>
      <x:c r="H81" s="108"/>
      <x:c r="I81" s="108"/>
      <x:c r="J81" s="108"/>
      <x:c r="K81" s="109"/>
      <x:c r="L81" s="110"/>
      <x:c r="M81" s="109" t="str">
        <x:f>IF(OR(K81="",L81=""),"",K81*L81)</x:f>
      </x:c>
      <x:c r="N81" s="108" t="str">
        <x:f>IF(I81="","Single",IF(LEFT(I81,2)="2x","Double","Single"))</x:f>
        <x:v>Single</x:v>
      </x:c>
      <x:c r="O81" s="109" t="n">
        <x:f>IF(N81="","",IF(N81="Double",Summary!$B$37,Summary!$B$36))</x:f>
        <x:v>5</x:v>
      </x:c>
      <x:c r="P81" s="109" t="str">
        <x:f>IF(K81="","",K81+O81)</x:f>
      </x:c>
      <x:c r="Q81" s="111" t="str">
        <x:f>IF(P81="","",P81*Summary!$B$35)</x:f>
      </x:c>
      <x:c r="R81" s="112" t="n">
        <x:f>IF(N81="","",IF(N81="Double",Summary!$B$39,Summary!$B$38))</x:f>
        <x:v>1.6</x:v>
      </x:c>
      <x:c r="S81" s="113" t="str">
        <x:f>IF(Q81="","",Q81*R81)</x:f>
      </x:c>
    </x:row>
    <x:row r="82">
      <x:c r="A82" s="107"/>
      <x:c r="B82" s="108"/>
      <x:c r="C82" s="108"/>
      <x:c r="D82" s="108"/>
      <x:c r="E82" s="108"/>
      <x:c r="F82" s="108"/>
      <x:c r="G82" s="108"/>
      <x:c r="H82" s="108"/>
      <x:c r="I82" s="108"/>
      <x:c r="J82" s="108"/>
      <x:c r="K82" s="109"/>
      <x:c r="L82" s="110"/>
      <x:c r="M82" s="109" t="str">
        <x:f>IF(OR(K82="",L82=""),"",K82*L82)</x:f>
      </x:c>
      <x:c r="N82" s="108" t="str">
        <x:f>IF(I82="","Single",IF(LEFT(I82,2)="2x","Double","Single"))</x:f>
        <x:v>Single</x:v>
      </x:c>
      <x:c r="O82" s="109" t="n">
        <x:f>IF(N82="","",IF(N82="Double",Summary!$B$37,Summary!$B$36))</x:f>
        <x:v>5</x:v>
      </x:c>
      <x:c r="P82" s="109" t="str">
        <x:f>IF(K82="","",K82+O82)</x:f>
      </x:c>
      <x:c r="Q82" s="111" t="str">
        <x:f>IF(P82="","",P82*Summary!$B$35)</x:f>
      </x:c>
      <x:c r="R82" s="112" t="n">
        <x:f>IF(N82="","",IF(N82="Double",Summary!$B$39,Summary!$B$38))</x:f>
        <x:v>1.6</x:v>
      </x:c>
      <x:c r="S82" s="113" t="str">
        <x:f>IF(Q82="","",Q82*R82)</x:f>
      </x:c>
    </x:row>
    <x:row r="83">
      <x:c r="A83" s="107"/>
      <x:c r="B83" s="108"/>
      <x:c r="C83" s="108"/>
      <x:c r="D83" s="108"/>
      <x:c r="E83" s="108"/>
      <x:c r="F83" s="108"/>
      <x:c r="G83" s="108"/>
      <x:c r="H83" s="108"/>
      <x:c r="I83" s="108"/>
      <x:c r="J83" s="108"/>
      <x:c r="K83" s="109"/>
      <x:c r="L83" s="110"/>
      <x:c r="M83" s="109" t="str">
        <x:f>IF(OR(K83="",L83=""),"",K83*L83)</x:f>
      </x:c>
      <x:c r="N83" s="108" t="str">
        <x:f>IF(I83="","Single",IF(LEFT(I83,2)="2x","Double","Single"))</x:f>
        <x:v>Single</x:v>
      </x:c>
      <x:c r="O83" s="109" t="n">
        <x:f>IF(N83="","",IF(N83="Double",Summary!$B$37,Summary!$B$36))</x:f>
        <x:v>5</x:v>
      </x:c>
      <x:c r="P83" s="109" t="str">
        <x:f>IF(K83="","",K83+O83)</x:f>
      </x:c>
      <x:c r="Q83" s="111" t="str">
        <x:f>IF(P83="","",P83*Summary!$B$35)</x:f>
      </x:c>
      <x:c r="R83" s="112" t="n">
        <x:f>IF(N83="","",IF(N83="Double",Summary!$B$39,Summary!$B$38))</x:f>
        <x:v>1.6</x:v>
      </x:c>
      <x:c r="S83" s="113" t="str">
        <x:f>IF(Q83="","",Q83*R83)</x:f>
      </x:c>
    </x:row>
    <x:row r="84">
      <x:c r="A84" s="107"/>
      <x:c r="B84" s="108"/>
      <x:c r="C84" s="108"/>
      <x:c r="D84" s="108"/>
      <x:c r="E84" s="108"/>
      <x:c r="F84" s="108"/>
      <x:c r="G84" s="108"/>
      <x:c r="H84" s="108"/>
      <x:c r="I84" s="108"/>
      <x:c r="J84" s="108"/>
      <x:c r="K84" s="109"/>
      <x:c r="L84" s="110"/>
      <x:c r="M84" s="109" t="str">
        <x:f>IF(OR(K84="",L84=""),"",K84*L84)</x:f>
      </x:c>
      <x:c r="N84" s="108" t="str">
        <x:f>IF(I84="","Single",IF(LEFT(I84,2)="2x","Double","Single"))</x:f>
        <x:v>Single</x:v>
      </x:c>
      <x:c r="O84" s="109" t="n">
        <x:f>IF(N84="","",IF(N84="Double",Summary!$B$37,Summary!$B$36))</x:f>
        <x:v>5</x:v>
      </x:c>
      <x:c r="P84" s="109" t="str">
        <x:f>IF(K84="","",K84+O84)</x:f>
      </x:c>
      <x:c r="Q84" s="111" t="str">
        <x:f>IF(P84="","",P84*Summary!$B$35)</x:f>
      </x:c>
      <x:c r="R84" s="112" t="n">
        <x:f>IF(N84="","",IF(N84="Double",Summary!$B$39,Summary!$B$38))</x:f>
        <x:v>1.6</x:v>
      </x:c>
      <x:c r="S84" s="113" t="str">
        <x:f>IF(Q84="","",Q84*R84)</x:f>
      </x:c>
    </x:row>
    <x:row r="85">
      <x:c r="A85" s="107"/>
      <x:c r="B85" s="108"/>
      <x:c r="C85" s="108"/>
      <x:c r="D85" s="108"/>
      <x:c r="E85" s="108"/>
      <x:c r="F85" s="108"/>
      <x:c r="G85" s="108"/>
      <x:c r="H85" s="108"/>
      <x:c r="I85" s="108"/>
      <x:c r="J85" s="108"/>
      <x:c r="K85" s="109"/>
      <x:c r="L85" s="110"/>
      <x:c r="M85" s="109" t="str">
        <x:f>IF(OR(K85="",L85=""),"",K85*L85)</x:f>
      </x:c>
      <x:c r="N85" s="108" t="str">
        <x:f>IF(I85="","Single",IF(LEFT(I85,2)="2x","Double","Single"))</x:f>
        <x:v>Single</x:v>
      </x:c>
      <x:c r="O85" s="109" t="n">
        <x:f>IF(N85="","",IF(N85="Double",Summary!$B$37,Summary!$B$36))</x:f>
        <x:v>5</x:v>
      </x:c>
      <x:c r="P85" s="109" t="str">
        <x:f>IF(K85="","",K85+O85)</x:f>
      </x:c>
      <x:c r="Q85" s="111" t="str">
        <x:f>IF(P85="","",P85*Summary!$B$35)</x:f>
      </x:c>
      <x:c r="R85" s="112" t="n">
        <x:f>IF(N85="","",IF(N85="Double",Summary!$B$39,Summary!$B$38))</x:f>
        <x:v>1.6</x:v>
      </x:c>
      <x:c r="S85" s="113" t="str">
        <x:f>IF(Q85="","",Q85*R85)</x:f>
      </x:c>
    </x:row>
    <x:row r="86">
      <x:c r="A86" s="107"/>
      <x:c r="B86" s="108"/>
      <x:c r="C86" s="108"/>
      <x:c r="D86" s="108"/>
      <x:c r="E86" s="108"/>
      <x:c r="F86" s="108"/>
      <x:c r="G86" s="108"/>
      <x:c r="H86" s="108"/>
      <x:c r="I86" s="108"/>
      <x:c r="J86" s="108"/>
      <x:c r="K86" s="109"/>
      <x:c r="L86" s="110"/>
      <x:c r="M86" s="109" t="str">
        <x:f>IF(OR(K86="",L86=""),"",K86*L86)</x:f>
      </x:c>
      <x:c r="N86" s="108" t="str">
        <x:f>IF(I86="","Single",IF(LEFT(I86,2)="2x","Double","Single"))</x:f>
        <x:v>Single</x:v>
      </x:c>
      <x:c r="O86" s="109" t="n">
        <x:f>IF(N86="","",IF(N86="Double",Summary!$B$37,Summary!$B$36))</x:f>
        <x:v>5</x:v>
      </x:c>
      <x:c r="P86" s="109" t="str">
        <x:f>IF(K86="","",K86+O86)</x:f>
      </x:c>
      <x:c r="Q86" s="111" t="str">
        <x:f>IF(P86="","",P86*Summary!$B$35)</x:f>
      </x:c>
      <x:c r="R86" s="112" t="n">
        <x:f>IF(N86="","",IF(N86="Double",Summary!$B$39,Summary!$B$38))</x:f>
        <x:v>1.6</x:v>
      </x:c>
      <x:c r="S86" s="113" t="str">
        <x:f>IF(Q86="","",Q86*R86)</x:f>
      </x:c>
    </x:row>
    <x:row r="87">
      <x:c r="A87" s="107"/>
      <x:c r="B87" s="108"/>
      <x:c r="C87" s="108"/>
      <x:c r="D87" s="108"/>
      <x:c r="E87" s="108"/>
      <x:c r="F87" s="108"/>
      <x:c r="G87" s="108"/>
      <x:c r="H87" s="108"/>
      <x:c r="I87" s="108"/>
      <x:c r="J87" s="108"/>
      <x:c r="K87" s="109"/>
      <x:c r="L87" s="110"/>
      <x:c r="M87" s="109" t="str">
        <x:f>IF(OR(K87="",L87=""),"",K87*L87)</x:f>
      </x:c>
      <x:c r="N87" s="108" t="str">
        <x:f>IF(I87="","Single",IF(LEFT(I87,2)="2x","Double","Single"))</x:f>
        <x:v>Single</x:v>
      </x:c>
      <x:c r="O87" s="109" t="n">
        <x:f>IF(N87="","",IF(N87="Double",Summary!$B$37,Summary!$B$36))</x:f>
        <x:v>5</x:v>
      </x:c>
      <x:c r="P87" s="109" t="str">
        <x:f>IF(K87="","",K87+O87)</x:f>
      </x:c>
      <x:c r="Q87" s="111" t="str">
        <x:f>IF(P87="","",P87*Summary!$B$35)</x:f>
      </x:c>
      <x:c r="R87" s="112" t="n">
        <x:f>IF(N87="","",IF(N87="Double",Summary!$B$39,Summary!$B$38))</x:f>
        <x:v>1.6</x:v>
      </x:c>
      <x:c r="S87" s="113" t="str">
        <x:f>IF(Q87="","",Q87*R87)</x:f>
      </x:c>
    </x:row>
    <x:row r="88">
      <x:c r="A88" s="107"/>
      <x:c r="B88" s="108"/>
      <x:c r="C88" s="108"/>
      <x:c r="D88" s="108"/>
      <x:c r="E88" s="108"/>
      <x:c r="F88" s="108"/>
      <x:c r="G88" s="108"/>
      <x:c r="H88" s="108"/>
      <x:c r="I88" s="108"/>
      <x:c r="J88" s="108"/>
      <x:c r="K88" s="109"/>
      <x:c r="L88" s="110"/>
      <x:c r="M88" s="109" t="str">
        <x:f>IF(OR(K88="",L88=""),"",K88*L88)</x:f>
      </x:c>
      <x:c r="N88" s="108" t="str">
        <x:f>IF(I88="","Single",IF(LEFT(I88,2)="2x","Double","Single"))</x:f>
        <x:v>Single</x:v>
      </x:c>
      <x:c r="O88" s="109" t="n">
        <x:f>IF(N88="","",IF(N88="Double",Summary!$B$37,Summary!$B$36))</x:f>
        <x:v>5</x:v>
      </x:c>
      <x:c r="P88" s="109" t="str">
        <x:f>IF(K88="","",K88+O88)</x:f>
      </x:c>
      <x:c r="Q88" s="111" t="str">
        <x:f>IF(P88="","",P88*Summary!$B$35)</x:f>
      </x:c>
      <x:c r="R88" s="112" t="n">
        <x:f>IF(N88="","",IF(N88="Double",Summary!$B$39,Summary!$B$38))</x:f>
        <x:v>1.6</x:v>
      </x:c>
      <x:c r="S88" s="113" t="str">
        <x:f>IF(Q88="","",Q88*R88)</x:f>
      </x:c>
    </x:row>
    <x:row r="89">
      <x:c r="A89" s="107"/>
      <x:c r="B89" s="108"/>
      <x:c r="C89" s="108"/>
      <x:c r="D89" s="108"/>
      <x:c r="E89" s="108"/>
      <x:c r="F89" s="108"/>
      <x:c r="G89" s="108"/>
      <x:c r="H89" s="108"/>
      <x:c r="I89" s="108"/>
      <x:c r="J89" s="108"/>
      <x:c r="K89" s="109"/>
      <x:c r="L89" s="110"/>
      <x:c r="M89" s="109" t="str">
        <x:f>IF(OR(K89="",L89=""),"",K89*L89)</x:f>
      </x:c>
      <x:c r="N89" s="108" t="str">
        <x:f>IF(I89="","Single",IF(LEFT(I89,2)="2x","Double","Single"))</x:f>
        <x:v>Single</x:v>
      </x:c>
      <x:c r="O89" s="109" t="n">
        <x:f>IF(N89="","",IF(N89="Double",Summary!$B$37,Summary!$B$36))</x:f>
        <x:v>5</x:v>
      </x:c>
      <x:c r="P89" s="109" t="str">
        <x:f>IF(K89="","",K89+O89)</x:f>
      </x:c>
      <x:c r="Q89" s="111" t="str">
        <x:f>IF(P89="","",P89*Summary!$B$35)</x:f>
      </x:c>
      <x:c r="R89" s="112" t="n">
        <x:f>IF(N89="","",IF(N89="Double",Summary!$B$39,Summary!$B$38))</x:f>
        <x:v>1.6</x:v>
      </x:c>
      <x:c r="S89" s="113" t="str">
        <x:f>IF(Q89="","",Q89*R89)</x:f>
      </x:c>
    </x:row>
    <x:row r="90">
      <x:c r="A90" s="107"/>
      <x:c r="B90" s="108"/>
      <x:c r="C90" s="108"/>
      <x:c r="D90" s="108"/>
      <x:c r="E90" s="108"/>
      <x:c r="F90" s="108"/>
      <x:c r="G90" s="108"/>
      <x:c r="H90" s="108"/>
      <x:c r="I90" s="108"/>
      <x:c r="J90" s="108"/>
      <x:c r="K90" s="109"/>
      <x:c r="L90" s="110"/>
      <x:c r="M90" s="109" t="str">
        <x:f>IF(OR(K90="",L90=""),"",K90*L90)</x:f>
      </x:c>
      <x:c r="N90" s="108" t="str">
        <x:f>IF(I90="","Single",IF(LEFT(I90,2)="2x","Double","Single"))</x:f>
        <x:v>Single</x:v>
      </x:c>
      <x:c r="O90" s="109" t="n">
        <x:f>IF(N90="","",IF(N90="Double",Summary!$B$37,Summary!$B$36))</x:f>
        <x:v>5</x:v>
      </x:c>
      <x:c r="P90" s="109" t="str">
        <x:f>IF(K90="","",K90+O90)</x:f>
      </x:c>
      <x:c r="Q90" s="111" t="str">
        <x:f>IF(P90="","",P90*Summary!$B$35)</x:f>
      </x:c>
      <x:c r="R90" s="112" t="n">
        <x:f>IF(N90="","",IF(N90="Double",Summary!$B$39,Summary!$B$38))</x:f>
        <x:v>1.6</x:v>
      </x:c>
      <x:c r="S90" s="113" t="str">
        <x:f>IF(Q90="","",Q90*R90)</x:f>
      </x:c>
    </x:row>
    <x:row r="91">
      <x:c r="A91" s="107"/>
      <x:c r="B91" s="108"/>
      <x:c r="C91" s="108"/>
      <x:c r="D91" s="108"/>
      <x:c r="E91" s="108"/>
      <x:c r="F91" s="108"/>
      <x:c r="G91" s="108"/>
      <x:c r="H91" s="108"/>
      <x:c r="I91" s="108"/>
      <x:c r="J91" s="108"/>
      <x:c r="K91" s="109"/>
      <x:c r="L91" s="110"/>
      <x:c r="M91" s="109" t="str">
        <x:f>IF(OR(K91="",L91=""),"",K91*L91)</x:f>
      </x:c>
      <x:c r="N91" s="108" t="str">
        <x:f>IF(I91="","Single",IF(LEFT(I91,2)="2x","Double","Single"))</x:f>
        <x:v>Single</x:v>
      </x:c>
      <x:c r="O91" s="109" t="n">
        <x:f>IF(N91="","",IF(N91="Double",Summary!$B$37,Summary!$B$36))</x:f>
        <x:v>5</x:v>
      </x:c>
      <x:c r="P91" s="109" t="str">
        <x:f>IF(K91="","",K91+O91)</x:f>
      </x:c>
      <x:c r="Q91" s="111" t="str">
        <x:f>IF(P91="","",P91*Summary!$B$35)</x:f>
      </x:c>
      <x:c r="R91" s="112" t="n">
        <x:f>IF(N91="","",IF(N91="Double",Summary!$B$39,Summary!$B$38))</x:f>
        <x:v>1.6</x:v>
      </x:c>
      <x:c r="S91" s="113" t="str">
        <x:f>IF(Q91="","",Q91*R91)</x:f>
      </x:c>
    </x:row>
    <x:row r="92">
      <x:c r="A92" s="107"/>
      <x:c r="B92" s="108"/>
      <x:c r="C92" s="108"/>
      <x:c r="D92" s="108"/>
      <x:c r="E92" s="108"/>
      <x:c r="F92" s="108"/>
      <x:c r="G92" s="108"/>
      <x:c r="H92" s="108"/>
      <x:c r="I92" s="108"/>
      <x:c r="J92" s="108"/>
      <x:c r="K92" s="109"/>
      <x:c r="L92" s="110"/>
      <x:c r="M92" s="109" t="str">
        <x:f>IF(OR(K92="",L92=""),"",K92*L92)</x:f>
      </x:c>
      <x:c r="N92" s="108" t="str">
        <x:f>IF(I92="","Single",IF(LEFT(I92,2)="2x","Double","Single"))</x:f>
        <x:v>Single</x:v>
      </x:c>
      <x:c r="O92" s="109" t="n">
        <x:f>IF(N92="","",IF(N92="Double",Summary!$B$37,Summary!$B$36))</x:f>
        <x:v>5</x:v>
      </x:c>
      <x:c r="P92" s="109" t="str">
        <x:f>IF(K92="","",K92+O92)</x:f>
      </x:c>
      <x:c r="Q92" s="111" t="str">
        <x:f>IF(P92="","",P92*Summary!$B$35)</x:f>
      </x:c>
      <x:c r="R92" s="112" t="n">
        <x:f>IF(N92="","",IF(N92="Double",Summary!$B$39,Summary!$B$38))</x:f>
        <x:v>1.6</x:v>
      </x:c>
      <x:c r="S92" s="113" t="str">
        <x:f>IF(Q92="","",Q92*R92)</x:f>
      </x:c>
    </x:row>
    <x:row r="93">
      <x:c r="A93" s="107"/>
      <x:c r="B93" s="108"/>
      <x:c r="C93" s="108"/>
      <x:c r="D93" s="108"/>
      <x:c r="E93" s="108"/>
      <x:c r="F93" s="108"/>
      <x:c r="G93" s="108"/>
      <x:c r="H93" s="108"/>
      <x:c r="I93" s="108"/>
      <x:c r="J93" s="108"/>
      <x:c r="K93" s="109"/>
      <x:c r="L93" s="110"/>
      <x:c r="M93" s="109" t="str">
        <x:f>IF(OR(K93="",L93=""),"",K93*L93)</x:f>
      </x:c>
      <x:c r="N93" s="108" t="str">
        <x:f>IF(I93="","Single",IF(LEFT(I93,2)="2x","Double","Single"))</x:f>
        <x:v>Single</x:v>
      </x:c>
      <x:c r="O93" s="109" t="n">
        <x:f>IF(N93="","",IF(N93="Double",Summary!$B$37,Summary!$B$36))</x:f>
        <x:v>5</x:v>
      </x:c>
      <x:c r="P93" s="109" t="str">
        <x:f>IF(K93="","",K93+O93)</x:f>
      </x:c>
      <x:c r="Q93" s="111" t="str">
        <x:f>IF(P93="","",P93*Summary!$B$35)</x:f>
      </x:c>
      <x:c r="R93" s="112" t="n">
        <x:f>IF(N93="","",IF(N93="Double",Summary!$B$39,Summary!$B$38))</x:f>
        <x:v>1.6</x:v>
      </x:c>
      <x:c r="S93" s="113" t="str">
        <x:f>IF(Q93="","",Q93*R93)</x:f>
      </x:c>
    </x:row>
    <x:row r="94">
      <x:c r="A94" s="107"/>
      <x:c r="B94" s="108"/>
      <x:c r="C94" s="108"/>
      <x:c r="D94" s="108"/>
      <x:c r="E94" s="108"/>
      <x:c r="F94" s="108"/>
      <x:c r="G94" s="108"/>
      <x:c r="H94" s="108"/>
      <x:c r="I94" s="108"/>
      <x:c r="J94" s="108"/>
      <x:c r="K94" s="109"/>
      <x:c r="L94" s="110"/>
      <x:c r="M94" s="109" t="str">
        <x:f>IF(OR(K94="",L94=""),"",K94*L94)</x:f>
      </x:c>
      <x:c r="N94" s="108" t="str">
        <x:f>IF(I94="","Single",IF(LEFT(I94,2)="2x","Double","Single"))</x:f>
        <x:v>Single</x:v>
      </x:c>
      <x:c r="O94" s="109" t="n">
        <x:f>IF(N94="","",IF(N94="Double",Summary!$B$37,Summary!$B$36))</x:f>
        <x:v>5</x:v>
      </x:c>
      <x:c r="P94" s="109" t="str">
        <x:f>IF(K94="","",K94+O94)</x:f>
      </x:c>
      <x:c r="Q94" s="111" t="str">
        <x:f>IF(P94="","",P94*Summary!$B$35)</x:f>
      </x:c>
      <x:c r="R94" s="112" t="n">
        <x:f>IF(N94="","",IF(N94="Double",Summary!$B$39,Summary!$B$38))</x:f>
        <x:v>1.6</x:v>
      </x:c>
      <x:c r="S94" s="113" t="str">
        <x:f>IF(Q94="","",Q94*R94)</x:f>
      </x:c>
    </x:row>
    <x:row r="95">
      <x:c r="A95" s="107"/>
      <x:c r="B95" s="108"/>
      <x:c r="C95" s="108"/>
      <x:c r="D95" s="108"/>
      <x:c r="E95" s="108"/>
      <x:c r="F95" s="108"/>
      <x:c r="G95" s="108"/>
      <x:c r="H95" s="108"/>
      <x:c r="I95" s="108"/>
      <x:c r="J95" s="108"/>
      <x:c r="K95" s="109"/>
      <x:c r="L95" s="110"/>
      <x:c r="M95" s="109" t="str">
        <x:f>IF(OR(K95="",L95=""),"",K95*L95)</x:f>
      </x:c>
      <x:c r="N95" s="108" t="str">
        <x:f>IF(I95="","Single",IF(LEFT(I95,2)="2x","Double","Single"))</x:f>
        <x:v>Single</x:v>
      </x:c>
      <x:c r="O95" s="109" t="n">
        <x:f>IF(N95="","",IF(N95="Double",Summary!$B$37,Summary!$B$36))</x:f>
        <x:v>5</x:v>
      </x:c>
      <x:c r="P95" s="109" t="str">
        <x:f>IF(K95="","",K95+O95)</x:f>
      </x:c>
      <x:c r="Q95" s="111" t="str">
        <x:f>IF(P95="","",P95*Summary!$B$35)</x:f>
      </x:c>
      <x:c r="R95" s="112" t="n">
        <x:f>IF(N95="","",IF(N95="Double",Summary!$B$39,Summary!$B$38))</x:f>
        <x:v>1.6</x:v>
      </x:c>
      <x:c r="S95" s="113" t="str">
        <x:f>IF(Q95="","",Q95*R95)</x:f>
      </x:c>
    </x:row>
    <x:row r="96">
      <x:c r="A96" s="107"/>
      <x:c r="B96" s="108"/>
      <x:c r="C96" s="108"/>
      <x:c r="D96" s="108"/>
      <x:c r="E96" s="108"/>
      <x:c r="F96" s="108"/>
      <x:c r="G96" s="108"/>
      <x:c r="H96" s="108"/>
      <x:c r="I96" s="108"/>
      <x:c r="J96" s="108"/>
      <x:c r="K96" s="109"/>
      <x:c r="L96" s="110"/>
      <x:c r="M96" s="109" t="str">
        <x:f>IF(OR(K96="",L96=""),"",K96*L96)</x:f>
      </x:c>
      <x:c r="N96" s="108" t="str">
        <x:f>IF(I96="","Single",IF(LEFT(I96,2)="2x","Double","Single"))</x:f>
        <x:v>Single</x:v>
      </x:c>
      <x:c r="O96" s="109" t="n">
        <x:f>IF(N96="","",IF(N96="Double",Summary!$B$37,Summary!$B$36))</x:f>
        <x:v>5</x:v>
      </x:c>
      <x:c r="P96" s="109" t="str">
        <x:f>IF(K96="","",K96+O96)</x:f>
      </x:c>
      <x:c r="Q96" s="111" t="str">
        <x:f>IF(P96="","",P96*Summary!$B$35)</x:f>
      </x:c>
      <x:c r="R96" s="112" t="n">
        <x:f>IF(N96="","",IF(N96="Double",Summary!$B$39,Summary!$B$38))</x:f>
        <x:v>1.6</x:v>
      </x:c>
      <x:c r="S96" s="113" t="str">
        <x:f>IF(Q96="","",Q96*R96)</x:f>
      </x:c>
    </x:row>
    <x:row r="97">
      <x:c r="A97" s="107"/>
      <x:c r="B97" s="108"/>
      <x:c r="C97" s="108"/>
      <x:c r="D97" s="108"/>
      <x:c r="E97" s="108"/>
      <x:c r="F97" s="108"/>
      <x:c r="G97" s="108"/>
      <x:c r="H97" s="108"/>
      <x:c r="I97" s="108"/>
      <x:c r="J97" s="108"/>
      <x:c r="K97" s="109"/>
      <x:c r="L97" s="110"/>
      <x:c r="M97" s="109" t="str">
        <x:f>IF(OR(K97="",L97=""),"",K97*L97)</x:f>
      </x:c>
      <x:c r="N97" s="108" t="str">
        <x:f>IF(I97="","Single",IF(LEFT(I97,2)="2x","Double","Single"))</x:f>
        <x:v>Single</x:v>
      </x:c>
      <x:c r="O97" s="109" t="n">
        <x:f>IF(N97="","",IF(N97="Double",Summary!$B$37,Summary!$B$36))</x:f>
        <x:v>5</x:v>
      </x:c>
      <x:c r="P97" s="109" t="str">
        <x:f>IF(K97="","",K97+O97)</x:f>
      </x:c>
      <x:c r="Q97" s="111" t="str">
        <x:f>IF(P97="","",P97*Summary!$B$35)</x:f>
      </x:c>
      <x:c r="R97" s="112" t="n">
        <x:f>IF(N97="","",IF(N97="Double",Summary!$B$39,Summary!$B$38))</x:f>
        <x:v>1.6</x:v>
      </x:c>
      <x:c r="S97" s="113" t="str">
        <x:f>IF(Q97="","",Q97*R97)</x:f>
      </x:c>
    </x:row>
    <x:row r="98">
      <x:c r="A98" s="107"/>
      <x:c r="B98" s="108"/>
      <x:c r="C98" s="108"/>
      <x:c r="D98" s="108"/>
      <x:c r="E98" s="108"/>
      <x:c r="F98" s="108"/>
      <x:c r="G98" s="108"/>
      <x:c r="H98" s="108"/>
      <x:c r="I98" s="108"/>
      <x:c r="J98" s="108"/>
      <x:c r="K98" s="109"/>
      <x:c r="L98" s="110"/>
      <x:c r="M98" s="109" t="str">
        <x:f>IF(OR(K98="",L98=""),"",K98*L98)</x:f>
      </x:c>
      <x:c r="N98" s="108" t="str">
        <x:f>IF(I98="","Single",IF(LEFT(I98,2)="2x","Double","Single"))</x:f>
        <x:v>Single</x:v>
      </x:c>
      <x:c r="O98" s="109" t="n">
        <x:f>IF(N98="","",IF(N98="Double",Summary!$B$37,Summary!$B$36))</x:f>
        <x:v>5</x:v>
      </x:c>
      <x:c r="P98" s="109" t="str">
        <x:f>IF(K98="","",K98+O98)</x:f>
      </x:c>
      <x:c r="Q98" s="111" t="str">
        <x:f>IF(P98="","",P98*Summary!$B$35)</x:f>
      </x:c>
      <x:c r="R98" s="112" t="n">
        <x:f>IF(N98="","",IF(N98="Double",Summary!$B$39,Summary!$B$38))</x:f>
        <x:v>1.6</x:v>
      </x:c>
      <x:c r="S98" s="113" t="str">
        <x:f>IF(Q98="","",Q98*R98)</x:f>
      </x:c>
    </x:row>
    <x:row r="99">
      <x:c r="A99" s="107"/>
      <x:c r="B99" s="108"/>
      <x:c r="C99" s="108"/>
      <x:c r="D99" s="108"/>
      <x:c r="E99" s="108"/>
      <x:c r="F99" s="108"/>
      <x:c r="G99" s="108"/>
      <x:c r="H99" s="108"/>
      <x:c r="I99" s="108"/>
      <x:c r="J99" s="108"/>
      <x:c r="K99" s="109"/>
      <x:c r="L99" s="110"/>
      <x:c r="M99" s="109" t="str">
        <x:f>IF(OR(K99="",L99=""),"",K99*L99)</x:f>
      </x:c>
      <x:c r="N99" s="108" t="str">
        <x:f>IF(I99="","Single",IF(LEFT(I99,2)="2x","Double","Single"))</x:f>
        <x:v>Single</x:v>
      </x:c>
      <x:c r="O99" s="109" t="n">
        <x:f>IF(N99="","",IF(N99="Double",Summary!$B$37,Summary!$B$36))</x:f>
        <x:v>5</x:v>
      </x:c>
      <x:c r="P99" s="109" t="str">
        <x:f>IF(K99="","",K99+O99)</x:f>
      </x:c>
      <x:c r="Q99" s="111" t="str">
        <x:f>IF(P99="","",P99*Summary!$B$35)</x:f>
      </x:c>
      <x:c r="R99" s="112" t="n">
        <x:f>IF(N99="","",IF(N99="Double",Summary!$B$39,Summary!$B$38))</x:f>
        <x:v>1.6</x:v>
      </x:c>
      <x:c r="S99" s="113" t="str">
        <x:f>IF(Q99="","",Q99*R99)</x:f>
      </x:c>
    </x:row>
    <x:row r="100">
      <x:c r="A100" s="107"/>
      <x:c r="B100" s="108"/>
      <x:c r="C100" s="108"/>
      <x:c r="D100" s="108"/>
      <x:c r="E100" s="108"/>
      <x:c r="F100" s="108"/>
      <x:c r="G100" s="108"/>
      <x:c r="H100" s="108"/>
      <x:c r="I100" s="108"/>
      <x:c r="J100" s="108"/>
      <x:c r="K100" s="109"/>
      <x:c r="L100" s="110"/>
      <x:c r="M100" s="109" t="str">
        <x:f>IF(OR(K100="",L100=""),"",K100*L100)</x:f>
      </x:c>
      <x:c r="N100" s="108" t="str">
        <x:f>IF(I100="","Single",IF(LEFT(I100,2)="2x","Double","Single"))</x:f>
        <x:v>Single</x:v>
      </x:c>
      <x:c r="O100" s="109" t="n">
        <x:f>IF(N100="","",IF(N100="Double",Summary!$B$37,Summary!$B$36))</x:f>
        <x:v>5</x:v>
      </x:c>
      <x:c r="P100" s="109" t="str">
        <x:f>IF(K100="","",K100+O100)</x:f>
      </x:c>
      <x:c r="Q100" s="111" t="str">
        <x:f>IF(P100="","",P100*Summary!$B$35)</x:f>
      </x:c>
      <x:c r="R100" s="112" t="n">
        <x:f>IF(N100="","",IF(N100="Double",Summary!$B$39,Summary!$B$38))</x:f>
        <x:v>1.6</x:v>
      </x:c>
      <x:c r="S100" s="113" t="str">
        <x:f>IF(Q100="","",Q100*R100)</x:f>
      </x:c>
    </x:row>
    <x:row r="101">
      <x:c r="A101" s="107"/>
      <x:c r="B101" s="108"/>
      <x:c r="C101" s="108"/>
      <x:c r="D101" s="108"/>
      <x:c r="E101" s="108"/>
      <x:c r="F101" s="108"/>
      <x:c r="G101" s="108"/>
      <x:c r="H101" s="108"/>
      <x:c r="I101" s="108"/>
      <x:c r="J101" s="108"/>
      <x:c r="K101" s="109"/>
      <x:c r="L101" s="110"/>
      <x:c r="M101" s="109" t="str">
        <x:f>IF(OR(K101="",L101=""),"",K101*L101)</x:f>
      </x:c>
      <x:c r="N101" s="108" t="str">
        <x:f>IF(I101="","Single",IF(LEFT(I101,2)="2x","Double","Single"))</x:f>
        <x:v>Single</x:v>
      </x:c>
      <x:c r="O101" s="109" t="n">
        <x:f>IF(N101="","",IF(N101="Double",Summary!$B$37,Summary!$B$36))</x:f>
        <x:v>5</x:v>
      </x:c>
      <x:c r="P101" s="109" t="str">
        <x:f>IF(K101="","",K101+O101)</x:f>
      </x:c>
      <x:c r="Q101" s="111" t="str">
        <x:f>IF(P101="","",P101*Summary!$B$35)</x:f>
      </x:c>
      <x:c r="R101" s="112" t="n">
        <x:f>IF(N101="","",IF(N101="Double",Summary!$B$39,Summary!$B$38))</x:f>
        <x:v>1.6</x:v>
      </x:c>
      <x:c r="S101" s="113" t="str">
        <x:f>IF(Q101="","",Q101*R101)</x:f>
      </x:c>
    </x:row>
    <x:row r="102">
      <x:c r="A102" s="107"/>
      <x:c r="B102" s="108"/>
      <x:c r="C102" s="108"/>
      <x:c r="D102" s="108"/>
      <x:c r="E102" s="108"/>
      <x:c r="F102" s="108"/>
      <x:c r="G102" s="108"/>
      <x:c r="H102" s="108"/>
      <x:c r="I102" s="108"/>
      <x:c r="J102" s="108"/>
      <x:c r="K102" s="109"/>
      <x:c r="L102" s="110"/>
      <x:c r="M102" s="109" t="str">
        <x:f>IF(OR(K102="",L102=""),"",K102*L102)</x:f>
      </x:c>
      <x:c r="N102" s="108" t="str">
        <x:f>IF(I102="","Single",IF(LEFT(I102,2)="2x","Double","Single"))</x:f>
        <x:v>Single</x:v>
      </x:c>
      <x:c r="O102" s="109" t="n">
        <x:f>IF(N102="","",IF(N102="Double",Summary!$B$37,Summary!$B$36))</x:f>
        <x:v>5</x:v>
      </x:c>
      <x:c r="P102" s="109" t="str">
        <x:f>IF(K102="","",K102+O102)</x:f>
      </x:c>
      <x:c r="Q102" s="111" t="str">
        <x:f>IF(P102="","",P102*Summary!$B$35)</x:f>
      </x:c>
      <x:c r="R102" s="112" t="n">
        <x:f>IF(N102="","",IF(N102="Double",Summary!$B$39,Summary!$B$38))</x:f>
        <x:v>1.6</x:v>
      </x:c>
      <x:c r="S102" s="113" t="str">
        <x:f>IF(Q102="","",Q102*R102)</x:f>
      </x:c>
    </x:row>
    <x:row r="103">
      <x:c r="A103" s="107"/>
      <x:c r="B103" s="108"/>
      <x:c r="C103" s="108"/>
      <x:c r="D103" s="108"/>
      <x:c r="E103" s="108"/>
      <x:c r="F103" s="108"/>
      <x:c r="G103" s="108"/>
      <x:c r="H103" s="108"/>
      <x:c r="I103" s="108"/>
      <x:c r="J103" s="108"/>
      <x:c r="K103" s="109"/>
      <x:c r="L103" s="110"/>
      <x:c r="M103" s="109" t="str">
        <x:f>IF(OR(K103="",L103=""),"",K103*L103)</x:f>
      </x:c>
      <x:c r="N103" s="108" t="str">
        <x:f>IF(I103="","Single",IF(LEFT(I103,2)="2x","Double","Single"))</x:f>
        <x:v>Single</x:v>
      </x:c>
      <x:c r="O103" s="109" t="n">
        <x:f>IF(N103="","",IF(N103="Double",Summary!$B$37,Summary!$B$36))</x:f>
        <x:v>5</x:v>
      </x:c>
      <x:c r="P103" s="109" t="str">
        <x:f>IF(K103="","",K103+O103)</x:f>
      </x:c>
      <x:c r="Q103" s="111" t="str">
        <x:f>IF(P103="","",P103*Summary!$B$35)</x:f>
      </x:c>
      <x:c r="R103" s="112" t="n">
        <x:f>IF(N103="","",IF(N103="Double",Summary!$B$39,Summary!$B$38))</x:f>
        <x:v>1.6</x:v>
      </x:c>
      <x:c r="S103" s="113" t="str">
        <x:f>IF(Q103="","",Q103*R103)</x:f>
      </x:c>
    </x:row>
    <x:row r="104">
      <x:c r="A104" s="107"/>
      <x:c r="B104" s="108"/>
      <x:c r="C104" s="108"/>
      <x:c r="D104" s="108"/>
      <x:c r="E104" s="108"/>
      <x:c r="F104" s="108"/>
      <x:c r="G104" s="108"/>
      <x:c r="H104" s="108"/>
      <x:c r="I104" s="108"/>
      <x:c r="J104" s="108"/>
      <x:c r="K104" s="109"/>
      <x:c r="L104" s="110"/>
      <x:c r="M104" s="109" t="str">
        <x:f>IF(OR(K104="",L104=""),"",K104*L104)</x:f>
      </x:c>
      <x:c r="N104" s="108" t="str">
        <x:f>IF(I104="","Single",IF(LEFT(I104,2)="2x","Double","Single"))</x:f>
        <x:v>Single</x:v>
      </x:c>
      <x:c r="O104" s="109" t="n">
        <x:f>IF(N104="","",IF(N104="Double",Summary!$B$37,Summary!$B$36))</x:f>
        <x:v>5</x:v>
      </x:c>
      <x:c r="P104" s="109" t="str">
        <x:f>IF(K104="","",K104+O104)</x:f>
      </x:c>
      <x:c r="Q104" s="111" t="str">
        <x:f>IF(P104="","",P104*Summary!$B$35)</x:f>
      </x:c>
      <x:c r="R104" s="112" t="n">
        <x:f>IF(N104="","",IF(N104="Double",Summary!$B$39,Summary!$B$38))</x:f>
        <x:v>1.6</x:v>
      </x:c>
      <x:c r="S104" s="113" t="str">
        <x:f>IF(Q104="","",Q104*R104)</x:f>
      </x:c>
    </x:row>
    <x:row r="105">
      <x:c r="A105" s="107"/>
      <x:c r="B105" s="108"/>
      <x:c r="C105" s="108"/>
      <x:c r="D105" s="108"/>
      <x:c r="E105" s="108"/>
      <x:c r="F105" s="108"/>
      <x:c r="G105" s="108"/>
      <x:c r="H105" s="108"/>
      <x:c r="I105" s="108"/>
      <x:c r="J105" s="108"/>
      <x:c r="K105" s="109"/>
      <x:c r="L105" s="110"/>
      <x:c r="M105" s="109" t="str">
        <x:f>IF(OR(K105="",L105=""),"",K105*L105)</x:f>
      </x:c>
      <x:c r="N105" s="108" t="str">
        <x:f>IF(I105="","Single",IF(LEFT(I105,2)="2x","Double","Single"))</x:f>
        <x:v>Single</x:v>
      </x:c>
      <x:c r="O105" s="109" t="n">
        <x:f>IF(N105="","",IF(N105="Double",Summary!$B$37,Summary!$B$36))</x:f>
        <x:v>5</x:v>
      </x:c>
      <x:c r="P105" s="109" t="str">
        <x:f>IF(K105="","",K105+O105)</x:f>
      </x:c>
      <x:c r="Q105" s="111" t="str">
        <x:f>IF(P105="","",P105*Summary!$B$35)</x:f>
      </x:c>
      <x:c r="R105" s="112" t="n">
        <x:f>IF(N105="","",IF(N105="Double",Summary!$B$39,Summary!$B$38))</x:f>
        <x:v>1.6</x:v>
      </x:c>
      <x:c r="S105" s="113" t="str">
        <x:f>IF(Q105="","",Q105*R105)</x:f>
      </x:c>
    </x:row>
    <x:row r="106">
      <x:c r="A106" s="107"/>
      <x:c r="B106" s="108"/>
      <x:c r="C106" s="108"/>
      <x:c r="D106" s="108"/>
      <x:c r="E106" s="108"/>
      <x:c r="F106" s="108"/>
      <x:c r="G106" s="108"/>
      <x:c r="H106" s="108"/>
      <x:c r="I106" s="108"/>
      <x:c r="J106" s="108"/>
      <x:c r="K106" s="109"/>
      <x:c r="L106" s="110"/>
      <x:c r="M106" s="109" t="str">
        <x:f>IF(OR(K106="",L106=""),"",K106*L106)</x:f>
      </x:c>
      <x:c r="N106" s="108" t="str">
        <x:f>IF(I106="","Single",IF(LEFT(I106,2)="2x","Double","Single"))</x:f>
        <x:v>Single</x:v>
      </x:c>
      <x:c r="O106" s="109" t="n">
        <x:f>IF(N106="","",IF(N106="Double",Summary!$B$37,Summary!$B$36))</x:f>
        <x:v>5</x:v>
      </x:c>
      <x:c r="P106" s="109" t="str">
        <x:f>IF(K106="","",K106+O106)</x:f>
      </x:c>
      <x:c r="Q106" s="111" t="str">
        <x:f>IF(P106="","",P106*Summary!$B$35)</x:f>
      </x:c>
      <x:c r="R106" s="112" t="n">
        <x:f>IF(N106="","",IF(N106="Double",Summary!$B$39,Summary!$B$38))</x:f>
        <x:v>1.6</x:v>
      </x:c>
      <x:c r="S106" s="113" t="str">
        <x:f>IF(Q106="","",Q106*R106)</x:f>
      </x:c>
    </x:row>
    <x:row r="107">
      <x:c r="A107" s="107"/>
      <x:c r="B107" s="108"/>
      <x:c r="C107" s="108"/>
      <x:c r="D107" s="108"/>
      <x:c r="E107" s="108"/>
      <x:c r="F107" s="108"/>
      <x:c r="G107" s="108"/>
      <x:c r="H107" s="108"/>
      <x:c r="I107" s="108"/>
      <x:c r="J107" s="108"/>
      <x:c r="K107" s="109"/>
      <x:c r="L107" s="110"/>
      <x:c r="M107" s="109" t="str">
        <x:f>IF(OR(K107="",L107=""),"",K107*L107)</x:f>
      </x:c>
      <x:c r="N107" s="108" t="str">
        <x:f>IF(I107="","Single",IF(LEFT(I107,2)="2x","Double","Single"))</x:f>
        <x:v>Single</x:v>
      </x:c>
      <x:c r="O107" s="109" t="n">
        <x:f>IF(N107="","",IF(N107="Double",Summary!$B$37,Summary!$B$36))</x:f>
        <x:v>5</x:v>
      </x:c>
      <x:c r="P107" s="109" t="str">
        <x:f>IF(K107="","",K107+O107)</x:f>
      </x:c>
      <x:c r="Q107" s="111" t="str">
        <x:f>IF(P107="","",P107*Summary!$B$35)</x:f>
      </x:c>
      <x:c r="R107" s="112" t="n">
        <x:f>IF(N107="","",IF(N107="Double",Summary!$B$39,Summary!$B$38))</x:f>
        <x:v>1.6</x:v>
      </x:c>
      <x:c r="S107" s="113" t="str">
        <x:f>IF(Q107="","",Q107*R107)</x:f>
      </x:c>
    </x:row>
    <x:row r="108">
      <x:c r="A108" s="107"/>
      <x:c r="B108" s="108"/>
      <x:c r="C108" s="108"/>
      <x:c r="D108" s="108"/>
      <x:c r="E108" s="108"/>
      <x:c r="F108" s="108"/>
      <x:c r="G108" s="108"/>
      <x:c r="H108" s="108"/>
      <x:c r="I108" s="108"/>
      <x:c r="J108" s="108"/>
      <x:c r="K108" s="109"/>
      <x:c r="L108" s="110"/>
      <x:c r="M108" s="109" t="str">
        <x:f>IF(OR(K108="",L108=""),"",K108*L108)</x:f>
      </x:c>
      <x:c r="N108" s="108" t="str">
        <x:f>IF(I108="","Single",IF(LEFT(I108,2)="2x","Double","Single"))</x:f>
        <x:v>Single</x:v>
      </x:c>
      <x:c r="O108" s="109" t="n">
        <x:f>IF(N108="","",IF(N108="Double",Summary!$B$37,Summary!$B$36))</x:f>
        <x:v>5</x:v>
      </x:c>
      <x:c r="P108" s="109" t="str">
        <x:f>IF(K108="","",K108+O108)</x:f>
      </x:c>
      <x:c r="Q108" s="111" t="str">
        <x:f>IF(P108="","",P108*Summary!$B$35)</x:f>
      </x:c>
      <x:c r="R108" s="112" t="n">
        <x:f>IF(N108="","",IF(N108="Double",Summary!$B$39,Summary!$B$38))</x:f>
        <x:v>1.6</x:v>
      </x:c>
      <x:c r="S108" s="113" t="str">
        <x:f>IF(Q108="","",Q108*R108)</x:f>
      </x:c>
    </x:row>
    <x:row r="109">
      <x:c r="A109" s="107"/>
      <x:c r="B109" s="108"/>
      <x:c r="C109" s="108"/>
      <x:c r="D109" s="108"/>
      <x:c r="E109" s="108"/>
      <x:c r="F109" s="108"/>
      <x:c r="G109" s="108"/>
      <x:c r="H109" s="108"/>
      <x:c r="I109" s="108"/>
      <x:c r="J109" s="108"/>
      <x:c r="K109" s="109"/>
      <x:c r="L109" s="110"/>
      <x:c r="M109" s="109" t="str">
        <x:f>IF(OR(K109="",L109=""),"",K109*L109)</x:f>
      </x:c>
      <x:c r="N109" s="108" t="str">
        <x:f>IF(I109="","Single",IF(LEFT(I109,2)="2x","Double","Single"))</x:f>
        <x:v>Single</x:v>
      </x:c>
      <x:c r="O109" s="109" t="n">
        <x:f>IF(N109="","",IF(N109="Double",Summary!$B$37,Summary!$B$36))</x:f>
        <x:v>5</x:v>
      </x:c>
      <x:c r="P109" s="109" t="str">
        <x:f>IF(K109="","",K109+O109)</x:f>
      </x:c>
      <x:c r="Q109" s="111" t="str">
        <x:f>IF(P109="","",P109*Summary!$B$35)</x:f>
      </x:c>
      <x:c r="R109" s="112" t="n">
        <x:f>IF(N109="","",IF(N109="Double",Summary!$B$39,Summary!$B$38))</x:f>
        <x:v>1.6</x:v>
      </x:c>
      <x:c r="S109" s="113" t="str">
        <x:f>IF(Q109="","",Q109*R109)</x:f>
      </x:c>
    </x:row>
    <x:row r="110">
      <x:c r="A110" s="107"/>
      <x:c r="B110" s="108"/>
      <x:c r="C110" s="108"/>
      <x:c r="D110" s="108"/>
      <x:c r="E110" s="108"/>
      <x:c r="F110" s="108"/>
      <x:c r="G110" s="108"/>
      <x:c r="H110" s="108"/>
      <x:c r="I110" s="108"/>
      <x:c r="J110" s="108"/>
      <x:c r="K110" s="109"/>
      <x:c r="L110" s="110"/>
      <x:c r="M110" s="109" t="str">
        <x:f>IF(OR(K110="",L110=""),"",K110*L110)</x:f>
      </x:c>
      <x:c r="N110" s="108" t="str">
        <x:f>IF(I110="","Single",IF(LEFT(I110,2)="2x","Double","Single"))</x:f>
        <x:v>Single</x:v>
      </x:c>
      <x:c r="O110" s="109" t="n">
        <x:f>IF(N110="","",IF(N110="Double",Summary!$B$37,Summary!$B$36))</x:f>
        <x:v>5</x:v>
      </x:c>
      <x:c r="P110" s="109" t="str">
        <x:f>IF(K110="","",K110+O110)</x:f>
      </x:c>
      <x:c r="Q110" s="111" t="str">
        <x:f>IF(P110="","",P110*Summary!$B$35)</x:f>
      </x:c>
      <x:c r="R110" s="112" t="n">
        <x:f>IF(N110="","",IF(N110="Double",Summary!$B$39,Summary!$B$38))</x:f>
        <x:v>1.6</x:v>
      </x:c>
      <x:c r="S110" s="113" t="str">
        <x:f>IF(Q110="","",Q110*R110)</x:f>
      </x:c>
    </x:row>
    <x:row r="111">
      <x:c r="A111" s="107"/>
      <x:c r="B111" s="108"/>
      <x:c r="C111" s="108"/>
      <x:c r="D111" s="108"/>
      <x:c r="E111" s="108"/>
      <x:c r="F111" s="108"/>
      <x:c r="G111" s="108"/>
      <x:c r="H111" s="108"/>
      <x:c r="I111" s="108"/>
      <x:c r="J111" s="108"/>
      <x:c r="K111" s="109"/>
      <x:c r="L111" s="110"/>
      <x:c r="M111" s="109" t="str">
        <x:f>IF(OR(K111="",L111=""),"",K111*L111)</x:f>
      </x:c>
      <x:c r="N111" s="108" t="str">
        <x:f>IF(I111="","Single",IF(LEFT(I111,2)="2x","Double","Single"))</x:f>
        <x:v>Single</x:v>
      </x:c>
      <x:c r="O111" s="109" t="n">
        <x:f>IF(N111="","",IF(N111="Double",Summary!$B$37,Summary!$B$36))</x:f>
        <x:v>5</x:v>
      </x:c>
      <x:c r="P111" s="109" t="str">
        <x:f>IF(K111="","",K111+O111)</x:f>
      </x:c>
      <x:c r="Q111" s="111" t="str">
        <x:f>IF(P111="","",P111*Summary!$B$35)</x:f>
      </x:c>
      <x:c r="R111" s="112" t="n">
        <x:f>IF(N111="","",IF(N111="Double",Summary!$B$39,Summary!$B$38))</x:f>
        <x:v>1.6</x:v>
      </x:c>
      <x:c r="S111" s="113" t="str">
        <x:f>IF(Q111="","",Q111*R111)</x:f>
      </x:c>
    </x:row>
    <x:row r="112">
      <x:c r="A112" s="107"/>
      <x:c r="B112" s="108"/>
      <x:c r="C112" s="108"/>
      <x:c r="D112" s="108"/>
      <x:c r="E112" s="108"/>
      <x:c r="F112" s="108"/>
      <x:c r="G112" s="108"/>
      <x:c r="H112" s="108"/>
      <x:c r="I112" s="108"/>
      <x:c r="J112" s="108"/>
      <x:c r="K112" s="109"/>
      <x:c r="L112" s="110"/>
      <x:c r="M112" s="109" t="str">
        <x:f>IF(OR(K112="",L112=""),"",K112*L112)</x:f>
      </x:c>
      <x:c r="N112" s="108" t="str">
        <x:f>IF(I112="","Single",IF(LEFT(I112,2)="2x","Double","Single"))</x:f>
        <x:v>Single</x:v>
      </x:c>
      <x:c r="O112" s="109" t="n">
        <x:f>IF(N112="","",IF(N112="Double",Summary!$B$37,Summary!$B$36))</x:f>
        <x:v>5</x:v>
      </x:c>
      <x:c r="P112" s="109" t="str">
        <x:f>IF(K112="","",K112+O112)</x:f>
      </x:c>
      <x:c r="Q112" s="111" t="str">
        <x:f>IF(P112="","",P112*Summary!$B$35)</x:f>
      </x:c>
      <x:c r="R112" s="112" t="n">
        <x:f>IF(N112="","",IF(N112="Double",Summary!$B$39,Summary!$B$38))</x:f>
        <x:v>1.6</x:v>
      </x:c>
      <x:c r="S112" s="113" t="str">
        <x:f>IF(Q112="","",Q112*R112)</x:f>
      </x:c>
    </x:row>
    <x:row r="113">
      <x:c r="A113" s="107"/>
      <x:c r="B113" s="108"/>
      <x:c r="C113" s="108"/>
      <x:c r="D113" s="108"/>
      <x:c r="E113" s="108"/>
      <x:c r="F113" s="108"/>
      <x:c r="G113" s="108"/>
      <x:c r="H113" s="108"/>
      <x:c r="I113" s="108"/>
      <x:c r="J113" s="108"/>
      <x:c r="K113" s="109"/>
      <x:c r="L113" s="110"/>
      <x:c r="M113" s="109" t="str">
        <x:f>IF(OR(K113="",L113=""),"",K113*L113)</x:f>
      </x:c>
      <x:c r="N113" s="108" t="str">
        <x:f>IF(I113="","Single",IF(LEFT(I113,2)="2x","Double","Single"))</x:f>
        <x:v>Single</x:v>
      </x:c>
      <x:c r="O113" s="109" t="n">
        <x:f>IF(N113="","",IF(N113="Double",Summary!$B$37,Summary!$B$36))</x:f>
        <x:v>5</x:v>
      </x:c>
      <x:c r="P113" s="109" t="str">
        <x:f>IF(K113="","",K113+O113)</x:f>
      </x:c>
      <x:c r="Q113" s="111" t="str">
        <x:f>IF(P113="","",P113*Summary!$B$35)</x:f>
      </x:c>
      <x:c r="R113" s="112" t="n">
        <x:f>IF(N113="","",IF(N113="Double",Summary!$B$39,Summary!$B$38))</x:f>
        <x:v>1.6</x:v>
      </x:c>
      <x:c r="S113" s="113" t="str">
        <x:f>IF(Q113="","",Q113*R113)</x:f>
      </x:c>
    </x:row>
    <x:row r="114">
      <x:c r="A114" s="107"/>
      <x:c r="B114" s="108"/>
      <x:c r="C114" s="108"/>
      <x:c r="D114" s="108"/>
      <x:c r="E114" s="108"/>
      <x:c r="F114" s="108"/>
      <x:c r="G114" s="108"/>
      <x:c r="H114" s="108"/>
      <x:c r="I114" s="108"/>
      <x:c r="J114" s="108"/>
      <x:c r="K114" s="109"/>
      <x:c r="L114" s="110"/>
      <x:c r="M114" s="109" t="str">
        <x:f>IF(OR(K114="",L114=""),"",K114*L114)</x:f>
      </x:c>
      <x:c r="N114" s="108" t="str">
        <x:f>IF(I114="","Single",IF(LEFT(I114,2)="2x","Double","Single"))</x:f>
        <x:v>Single</x:v>
      </x:c>
      <x:c r="O114" s="109" t="n">
        <x:f>IF(N114="","",IF(N114="Double",Summary!$B$37,Summary!$B$36))</x:f>
        <x:v>5</x:v>
      </x:c>
      <x:c r="P114" s="109" t="str">
        <x:f>IF(K114="","",K114+O114)</x:f>
      </x:c>
      <x:c r="Q114" s="111" t="str">
        <x:f>IF(P114="","",P114*Summary!$B$35)</x:f>
      </x:c>
      <x:c r="R114" s="112" t="n">
        <x:f>IF(N114="","",IF(N114="Double",Summary!$B$39,Summary!$B$38))</x:f>
        <x:v>1.6</x:v>
      </x:c>
      <x:c r="S114" s="113" t="str">
        <x:f>IF(Q114="","",Q114*R114)</x:f>
      </x:c>
    </x:row>
    <x:row r="115">
      <x:c r="A115" s="107"/>
      <x:c r="B115" s="108"/>
      <x:c r="C115" s="108"/>
      <x:c r="D115" s="108"/>
      <x:c r="E115" s="108"/>
      <x:c r="F115" s="108"/>
      <x:c r="G115" s="108"/>
      <x:c r="H115" s="108"/>
      <x:c r="I115" s="108"/>
      <x:c r="J115" s="108"/>
      <x:c r="K115" s="109"/>
      <x:c r="L115" s="110"/>
      <x:c r="M115" s="109" t="str">
        <x:f>IF(OR(K115="",L115=""),"",K115*L115)</x:f>
      </x:c>
      <x:c r="N115" s="108" t="str">
        <x:f>IF(I115="","Single",IF(LEFT(I115,2)="2x","Double","Single"))</x:f>
        <x:v>Single</x:v>
      </x:c>
      <x:c r="O115" s="109" t="n">
        <x:f>IF(N115="","",IF(N115="Double",Summary!$B$37,Summary!$B$36))</x:f>
        <x:v>5</x:v>
      </x:c>
      <x:c r="P115" s="109" t="str">
        <x:f>IF(K115="","",K115+O115)</x:f>
      </x:c>
      <x:c r="Q115" s="111" t="str">
        <x:f>IF(P115="","",P115*Summary!$B$35)</x:f>
      </x:c>
      <x:c r="R115" s="112" t="n">
        <x:f>IF(N115="","",IF(N115="Double",Summary!$B$39,Summary!$B$38))</x:f>
        <x:v>1.6</x:v>
      </x:c>
      <x:c r="S115" s="113" t="str">
        <x:f>IF(Q115="","",Q115*R115)</x:f>
      </x:c>
    </x:row>
    <x:row r="116">
      <x:c r="A116" s="107"/>
      <x:c r="B116" s="108"/>
      <x:c r="C116" s="108"/>
      <x:c r="D116" s="108"/>
      <x:c r="E116" s="108"/>
      <x:c r="F116" s="108"/>
      <x:c r="G116" s="108"/>
      <x:c r="H116" s="108"/>
      <x:c r="I116" s="108"/>
      <x:c r="J116" s="108"/>
      <x:c r="K116" s="109"/>
      <x:c r="L116" s="110"/>
      <x:c r="M116" s="109" t="str">
        <x:f>IF(OR(K116="",L116=""),"",K116*L116)</x:f>
      </x:c>
      <x:c r="N116" s="108" t="str">
        <x:f>IF(I116="","Single",IF(LEFT(I116,2)="2x","Double","Single"))</x:f>
        <x:v>Single</x:v>
      </x:c>
      <x:c r="O116" s="109" t="n">
        <x:f>IF(N116="","",IF(N116="Double",Summary!$B$37,Summary!$B$36))</x:f>
        <x:v>5</x:v>
      </x:c>
      <x:c r="P116" s="109" t="str">
        <x:f>IF(K116="","",K116+O116)</x:f>
      </x:c>
      <x:c r="Q116" s="111" t="str">
        <x:f>IF(P116="","",P116*Summary!$B$35)</x:f>
      </x:c>
      <x:c r="R116" s="112" t="n">
        <x:f>IF(N116="","",IF(N116="Double",Summary!$B$39,Summary!$B$38))</x:f>
        <x:v>1.6</x:v>
      </x:c>
      <x:c r="S116" s="113" t="str">
        <x:f>IF(Q116="","",Q116*R116)</x:f>
      </x:c>
    </x:row>
    <x:row r="117">
      <x:c r="A117" s="107"/>
      <x:c r="B117" s="108"/>
      <x:c r="C117" s="108"/>
      <x:c r="D117" s="108"/>
      <x:c r="E117" s="108"/>
      <x:c r="F117" s="108"/>
      <x:c r="G117" s="108"/>
      <x:c r="H117" s="108"/>
      <x:c r="I117" s="108"/>
      <x:c r="J117" s="108"/>
      <x:c r="K117" s="109"/>
      <x:c r="L117" s="110"/>
      <x:c r="M117" s="109" t="str">
        <x:f>IF(OR(K117="",L117=""),"",K117*L117)</x:f>
      </x:c>
      <x:c r="N117" s="108" t="str">
        <x:f>IF(I117="","Single",IF(LEFT(I117,2)="2x","Double","Single"))</x:f>
        <x:v>Single</x:v>
      </x:c>
      <x:c r="O117" s="109" t="n">
        <x:f>IF(N117="","",IF(N117="Double",Summary!$B$37,Summary!$B$36))</x:f>
        <x:v>5</x:v>
      </x:c>
      <x:c r="P117" s="109" t="str">
        <x:f>IF(K117="","",K117+O117)</x:f>
      </x:c>
      <x:c r="Q117" s="111" t="str">
        <x:f>IF(P117="","",P117*Summary!$B$35)</x:f>
      </x:c>
      <x:c r="R117" s="112" t="n">
        <x:f>IF(N117="","",IF(N117="Double",Summary!$B$39,Summary!$B$38))</x:f>
        <x:v>1.6</x:v>
      </x:c>
      <x:c r="S117" s="113" t="str">
        <x:f>IF(Q117="","",Q117*R117)</x:f>
      </x:c>
    </x:row>
    <x:row r="118">
      <x:c r="A118" s="107"/>
      <x:c r="B118" s="108"/>
      <x:c r="C118" s="108"/>
      <x:c r="D118" s="108"/>
      <x:c r="E118" s="108"/>
      <x:c r="F118" s="108"/>
      <x:c r="G118" s="108"/>
      <x:c r="H118" s="108"/>
      <x:c r="I118" s="108"/>
      <x:c r="J118" s="108"/>
      <x:c r="K118" s="109"/>
      <x:c r="L118" s="110"/>
      <x:c r="M118" s="109" t="str">
        <x:f>IF(OR(K118="",L118=""),"",K118*L118)</x:f>
      </x:c>
      <x:c r="N118" s="108" t="str">
        <x:f>IF(I118="","Single",IF(LEFT(I118,2)="2x","Double","Single"))</x:f>
        <x:v>Single</x:v>
      </x:c>
      <x:c r="O118" s="109" t="n">
        <x:f>IF(N118="","",IF(N118="Double",Summary!$B$37,Summary!$B$36))</x:f>
        <x:v>5</x:v>
      </x:c>
      <x:c r="P118" s="109" t="str">
        <x:f>IF(K118="","",K118+O118)</x:f>
      </x:c>
      <x:c r="Q118" s="111" t="str">
        <x:f>IF(P118="","",P118*Summary!$B$35)</x:f>
      </x:c>
      <x:c r="R118" s="112" t="n">
        <x:f>IF(N118="","",IF(N118="Double",Summary!$B$39,Summary!$B$38))</x:f>
        <x:v>1.6</x:v>
      </x:c>
      <x:c r="S118" s="113" t="str">
        <x:f>IF(Q118="","",Q118*R118)</x:f>
      </x:c>
    </x:row>
    <x:row r="119">
      <x:c r="A119" s="107"/>
      <x:c r="B119" s="108"/>
      <x:c r="C119" s="108"/>
      <x:c r="D119" s="108"/>
      <x:c r="E119" s="108"/>
      <x:c r="F119" s="108"/>
      <x:c r="G119" s="108"/>
      <x:c r="H119" s="108"/>
      <x:c r="I119" s="108"/>
      <x:c r="J119" s="108"/>
      <x:c r="K119" s="109"/>
      <x:c r="L119" s="110"/>
      <x:c r="M119" s="109" t="str">
        <x:f>IF(OR(K119="",L119=""),"",K119*L119)</x:f>
      </x:c>
      <x:c r="N119" s="108" t="str">
        <x:f>IF(I119="","Single",IF(LEFT(I119,2)="2x","Double","Single"))</x:f>
        <x:v>Single</x:v>
      </x:c>
      <x:c r="O119" s="109" t="n">
        <x:f>IF(N119="","",IF(N119="Double",Summary!$B$37,Summary!$B$36))</x:f>
        <x:v>5</x:v>
      </x:c>
      <x:c r="P119" s="109" t="str">
        <x:f>IF(K119="","",K119+O119)</x:f>
      </x:c>
      <x:c r="Q119" s="111" t="str">
        <x:f>IF(P119="","",P119*Summary!$B$35)</x:f>
      </x:c>
      <x:c r="R119" s="112" t="n">
        <x:f>IF(N119="","",IF(N119="Double",Summary!$B$39,Summary!$B$38))</x:f>
        <x:v>1.6</x:v>
      </x:c>
      <x:c r="S119" s="113" t="str">
        <x:f>IF(Q119="","",Q119*R119)</x:f>
      </x:c>
    </x:row>
    <x:row r="120">
      <x:c r="A120" s="107"/>
      <x:c r="B120" s="108"/>
      <x:c r="C120" s="108"/>
      <x:c r="D120" s="108"/>
      <x:c r="E120" s="108"/>
      <x:c r="F120" s="108"/>
      <x:c r="G120" s="108"/>
      <x:c r="H120" s="108"/>
      <x:c r="I120" s="108"/>
      <x:c r="J120" s="108"/>
      <x:c r="K120" s="109"/>
      <x:c r="L120" s="110"/>
      <x:c r="M120" s="109" t="str">
        <x:f>IF(OR(K120="",L120=""),"",K120*L120)</x:f>
      </x:c>
      <x:c r="N120" s="108" t="str">
        <x:f>IF(I120="","Single",IF(LEFT(I120,2)="2x","Double","Single"))</x:f>
        <x:v>Single</x:v>
      </x:c>
      <x:c r="O120" s="109" t="n">
        <x:f>IF(N120="","",IF(N120="Double",Summary!$B$37,Summary!$B$36))</x:f>
        <x:v>5</x:v>
      </x:c>
      <x:c r="P120" s="109" t="str">
        <x:f>IF(K120="","",K120+O120)</x:f>
      </x:c>
      <x:c r="Q120" s="111" t="str">
        <x:f>IF(P120="","",P120*Summary!$B$35)</x:f>
      </x:c>
      <x:c r="R120" s="112" t="n">
        <x:f>IF(N120="","",IF(N120="Double",Summary!$B$39,Summary!$B$38))</x:f>
        <x:v>1.6</x:v>
      </x:c>
      <x:c r="S120" s="113" t="str">
        <x:f>IF(Q120="","",Q120*R120)</x:f>
      </x:c>
    </x:row>
    <x:row r="121">
      <x:c r="A121" s="107"/>
      <x:c r="B121" s="108"/>
      <x:c r="C121" s="108"/>
      <x:c r="D121" s="108"/>
      <x:c r="E121" s="108"/>
      <x:c r="F121" s="108"/>
      <x:c r="G121" s="108"/>
      <x:c r="H121" s="108"/>
      <x:c r="I121" s="108"/>
      <x:c r="J121" s="108"/>
      <x:c r="K121" s="109"/>
      <x:c r="L121" s="110"/>
      <x:c r="M121" s="109" t="str">
        <x:f>IF(OR(K121="",L121=""),"",K121*L121)</x:f>
      </x:c>
      <x:c r="N121" s="108" t="str">
        <x:f>IF(I121="","Single",IF(LEFT(I121,2)="2x","Double","Single"))</x:f>
        <x:v>Single</x:v>
      </x:c>
      <x:c r="O121" s="109" t="n">
        <x:f>IF(N121="","",IF(N121="Double",Summary!$B$37,Summary!$B$36))</x:f>
        <x:v>5</x:v>
      </x:c>
      <x:c r="P121" s="109" t="str">
        <x:f>IF(K121="","",K121+O121)</x:f>
      </x:c>
      <x:c r="Q121" s="111" t="str">
        <x:f>IF(P121="","",P121*Summary!$B$35)</x:f>
      </x:c>
      <x:c r="R121" s="112" t="n">
        <x:f>IF(N121="","",IF(N121="Double",Summary!$B$39,Summary!$B$38))</x:f>
        <x:v>1.6</x:v>
      </x:c>
      <x:c r="S121" s="113" t="str">
        <x:f>IF(Q121="","",Q121*R121)</x:f>
      </x:c>
    </x:row>
    <x:row r="122">
      <x:c r="A122" s="107"/>
      <x:c r="B122" s="108"/>
      <x:c r="C122" s="108"/>
      <x:c r="D122" s="108"/>
      <x:c r="E122" s="108"/>
      <x:c r="F122" s="108"/>
      <x:c r="G122" s="108"/>
      <x:c r="H122" s="108"/>
      <x:c r="I122" s="108"/>
      <x:c r="J122" s="108"/>
      <x:c r="K122" s="109"/>
      <x:c r="L122" s="110"/>
      <x:c r="M122" s="109" t="str">
        <x:f>IF(OR(K122="",L122=""),"",K122*L122)</x:f>
      </x:c>
      <x:c r="N122" s="108" t="str">
        <x:f>IF(I122="","Single",IF(LEFT(I122,2)="2x","Double","Single"))</x:f>
        <x:v>Single</x:v>
      </x:c>
      <x:c r="O122" s="109" t="n">
        <x:f>IF(N122="","",IF(N122="Double",Summary!$B$37,Summary!$B$36))</x:f>
        <x:v>5</x:v>
      </x:c>
      <x:c r="P122" s="109" t="str">
        <x:f>IF(K122="","",K122+O122)</x:f>
      </x:c>
      <x:c r="Q122" s="111" t="str">
        <x:f>IF(P122="","",P122*Summary!$B$35)</x:f>
      </x:c>
      <x:c r="R122" s="112" t="n">
        <x:f>IF(N122="","",IF(N122="Double",Summary!$B$39,Summary!$B$38))</x:f>
        <x:v>1.6</x:v>
      </x:c>
      <x:c r="S122" s="113" t="str">
        <x:f>IF(Q122="","",Q122*R122)</x:f>
      </x:c>
    </x:row>
    <x:row r="123">
      <x:c r="A123" s="107"/>
      <x:c r="B123" s="108"/>
      <x:c r="C123" s="108"/>
      <x:c r="D123" s="108"/>
      <x:c r="E123" s="108"/>
      <x:c r="F123" s="108"/>
      <x:c r="G123" s="108"/>
      <x:c r="H123" s="108"/>
      <x:c r="I123" s="108"/>
      <x:c r="J123" s="108"/>
      <x:c r="K123" s="109"/>
      <x:c r="L123" s="110"/>
      <x:c r="M123" s="109" t="str">
        <x:f>IF(OR(K123="",L123=""),"",K123*L123)</x:f>
      </x:c>
      <x:c r="N123" s="108" t="str">
        <x:f>IF(I123="","Single",IF(LEFT(I123,2)="2x","Double","Single"))</x:f>
        <x:v>Single</x:v>
      </x:c>
      <x:c r="O123" s="109" t="n">
        <x:f>IF(N123="","",IF(N123="Double",Summary!$B$37,Summary!$B$36))</x:f>
        <x:v>5</x:v>
      </x:c>
      <x:c r="P123" s="109" t="str">
        <x:f>IF(K123="","",K123+O123)</x:f>
      </x:c>
      <x:c r="Q123" s="111" t="str">
        <x:f>IF(P123="","",P123*Summary!$B$35)</x:f>
      </x:c>
      <x:c r="R123" s="112" t="n">
        <x:f>IF(N123="","",IF(N123="Double",Summary!$B$39,Summary!$B$38))</x:f>
        <x:v>1.6</x:v>
      </x:c>
      <x:c r="S123" s="113" t="str">
        <x:f>IF(Q123="","",Q123*R123)</x:f>
      </x:c>
    </x:row>
    <x:row r="124">
      <x:c r="A124" s="107"/>
      <x:c r="B124" s="108"/>
      <x:c r="C124" s="108"/>
      <x:c r="D124" s="108"/>
      <x:c r="E124" s="108"/>
      <x:c r="F124" s="108"/>
      <x:c r="G124" s="108"/>
      <x:c r="H124" s="108"/>
      <x:c r="I124" s="108"/>
      <x:c r="J124" s="108"/>
      <x:c r="K124" s="109"/>
      <x:c r="L124" s="110"/>
      <x:c r="M124" s="109" t="str">
        <x:f>IF(OR(K124="",L124=""),"",K124*L124)</x:f>
      </x:c>
      <x:c r="N124" s="108" t="str">
        <x:f>IF(I124="","Single",IF(LEFT(I124,2)="2x","Double","Single"))</x:f>
        <x:v>Single</x:v>
      </x:c>
      <x:c r="O124" s="109" t="n">
        <x:f>IF(N124="","",IF(N124="Double",Summary!$B$37,Summary!$B$36))</x:f>
        <x:v>5</x:v>
      </x:c>
      <x:c r="P124" s="109" t="str">
        <x:f>IF(K124="","",K124+O124)</x:f>
      </x:c>
      <x:c r="Q124" s="111" t="str">
        <x:f>IF(P124="","",P124*Summary!$B$35)</x:f>
      </x:c>
      <x:c r="R124" s="112" t="n">
        <x:f>IF(N124="","",IF(N124="Double",Summary!$B$39,Summary!$B$38))</x:f>
        <x:v>1.6</x:v>
      </x:c>
      <x:c r="S124" s="113" t="str">
        <x:f>IF(Q124="","",Q124*R124)</x:f>
      </x:c>
    </x:row>
    <x:row r="125">
      <x:c r="A125" s="107"/>
      <x:c r="B125" s="108"/>
      <x:c r="C125" s="108"/>
      <x:c r="D125" s="108"/>
      <x:c r="E125" s="108"/>
      <x:c r="F125" s="108"/>
      <x:c r="G125" s="108"/>
      <x:c r="H125" s="108"/>
      <x:c r="I125" s="108"/>
      <x:c r="J125" s="108"/>
      <x:c r="K125" s="109"/>
      <x:c r="L125" s="110"/>
      <x:c r="M125" s="109" t="str">
        <x:f>IF(OR(K125="",L125=""),"",K125*L125)</x:f>
      </x:c>
      <x:c r="N125" s="108" t="str">
        <x:f>IF(I125="","Single",IF(LEFT(I125,2)="2x","Double","Single"))</x:f>
        <x:v>Single</x:v>
      </x:c>
      <x:c r="O125" s="109" t="n">
        <x:f>IF(N125="","",IF(N125="Double",Summary!$B$37,Summary!$B$36))</x:f>
        <x:v>5</x:v>
      </x:c>
      <x:c r="P125" s="109" t="str">
        <x:f>IF(K125="","",K125+O125)</x:f>
      </x:c>
      <x:c r="Q125" s="111" t="str">
        <x:f>IF(P125="","",P125*Summary!$B$35)</x:f>
      </x:c>
      <x:c r="R125" s="112" t="n">
        <x:f>IF(N125="","",IF(N125="Double",Summary!$B$39,Summary!$B$38))</x:f>
        <x:v>1.6</x:v>
      </x:c>
      <x:c r="S125" s="113" t="str">
        <x:f>IF(Q125="","",Q125*R125)</x:f>
      </x:c>
    </x:row>
    <x:row r="126">
      <x:c r="A126" s="107"/>
      <x:c r="B126" s="108"/>
      <x:c r="C126" s="108"/>
      <x:c r="D126" s="108"/>
      <x:c r="E126" s="108"/>
      <x:c r="F126" s="108"/>
      <x:c r="G126" s="108"/>
      <x:c r="H126" s="108"/>
      <x:c r="I126" s="108"/>
      <x:c r="J126" s="108"/>
      <x:c r="K126" s="109"/>
      <x:c r="L126" s="110"/>
      <x:c r="M126" s="109" t="str">
        <x:f>IF(OR(K126="",L126=""),"",K126*L126)</x:f>
      </x:c>
      <x:c r="N126" s="108" t="str">
        <x:f>IF(I126="","Single",IF(LEFT(I126,2)="2x","Double","Single"))</x:f>
        <x:v>Single</x:v>
      </x:c>
      <x:c r="O126" s="109" t="n">
        <x:f>IF(N126="","",IF(N126="Double",Summary!$B$37,Summary!$B$36))</x:f>
        <x:v>5</x:v>
      </x:c>
      <x:c r="P126" s="109" t="str">
        <x:f>IF(K126="","",K126+O126)</x:f>
      </x:c>
      <x:c r="Q126" s="111" t="str">
        <x:f>IF(P126="","",P126*Summary!$B$35)</x:f>
      </x:c>
      <x:c r="R126" s="112" t="n">
        <x:f>IF(N126="","",IF(N126="Double",Summary!$B$39,Summary!$B$38))</x:f>
        <x:v>1.6</x:v>
      </x:c>
      <x:c r="S126" s="113" t="str">
        <x:f>IF(Q126="","",Q126*R126)</x:f>
      </x:c>
    </x:row>
    <x:row r="127">
      <x:c r="A127" s="107"/>
      <x:c r="B127" s="108"/>
      <x:c r="C127" s="108"/>
      <x:c r="D127" s="108"/>
      <x:c r="E127" s="108"/>
      <x:c r="F127" s="108"/>
      <x:c r="G127" s="108"/>
      <x:c r="H127" s="108"/>
      <x:c r="I127" s="108"/>
      <x:c r="J127" s="108"/>
      <x:c r="K127" s="109"/>
      <x:c r="L127" s="110"/>
      <x:c r="M127" s="109" t="str">
        <x:f>IF(OR(K127="",L127=""),"",K127*L127)</x:f>
      </x:c>
      <x:c r="N127" s="108" t="str">
        <x:f>IF(I127="","Single",IF(LEFT(I127,2)="2x","Double","Single"))</x:f>
        <x:v>Single</x:v>
      </x:c>
      <x:c r="O127" s="109" t="n">
        <x:f>IF(N127="","",IF(N127="Double",Summary!$B$37,Summary!$B$36))</x:f>
        <x:v>5</x:v>
      </x:c>
      <x:c r="P127" s="109" t="str">
        <x:f>IF(K127="","",K127+O127)</x:f>
      </x:c>
      <x:c r="Q127" s="111" t="str">
        <x:f>IF(P127="","",P127*Summary!$B$35)</x:f>
      </x:c>
      <x:c r="R127" s="112" t="n">
        <x:f>IF(N127="","",IF(N127="Double",Summary!$B$39,Summary!$B$38))</x:f>
        <x:v>1.6</x:v>
      </x:c>
      <x:c r="S127" s="113" t="str">
        <x:f>IF(Q127="","",Q127*R127)</x:f>
      </x:c>
    </x:row>
    <x:row r="128">
      <x:c r="A128" s="107"/>
      <x:c r="B128" s="108"/>
      <x:c r="C128" s="108"/>
      <x:c r="D128" s="108"/>
      <x:c r="E128" s="108"/>
      <x:c r="F128" s="108"/>
      <x:c r="G128" s="108"/>
      <x:c r="H128" s="108"/>
      <x:c r="I128" s="108"/>
      <x:c r="J128" s="108"/>
      <x:c r="K128" s="109"/>
      <x:c r="L128" s="110"/>
      <x:c r="M128" s="109" t="str">
        <x:f>IF(OR(K128="",L128=""),"",K128*L128)</x:f>
      </x:c>
      <x:c r="N128" s="108" t="str">
        <x:f>IF(I128="","Single",IF(LEFT(I128,2)="2x","Double","Single"))</x:f>
        <x:v>Single</x:v>
      </x:c>
      <x:c r="O128" s="109" t="n">
        <x:f>IF(N128="","",IF(N128="Double",Summary!$B$37,Summary!$B$36))</x:f>
        <x:v>5</x:v>
      </x:c>
      <x:c r="P128" s="109" t="str">
        <x:f>IF(K128="","",K128+O128)</x:f>
      </x:c>
      <x:c r="Q128" s="111" t="str">
        <x:f>IF(P128="","",P128*Summary!$B$35)</x:f>
      </x:c>
      <x:c r="R128" s="112" t="n">
        <x:f>IF(N128="","",IF(N128="Double",Summary!$B$39,Summary!$B$38))</x:f>
        <x:v>1.6</x:v>
      </x:c>
      <x:c r="S128" s="113" t="str">
        <x:f>IF(Q128="","",Q128*R128)</x:f>
      </x:c>
    </x:row>
    <x:row r="129">
      <x:c r="A129" s="107"/>
      <x:c r="B129" s="108"/>
      <x:c r="C129" s="108"/>
      <x:c r="D129" s="108"/>
      <x:c r="E129" s="108"/>
      <x:c r="F129" s="108"/>
      <x:c r="G129" s="108"/>
      <x:c r="H129" s="108"/>
      <x:c r="I129" s="108"/>
      <x:c r="J129" s="108"/>
      <x:c r="K129" s="109"/>
      <x:c r="L129" s="110"/>
      <x:c r="M129" s="109" t="str">
        <x:f>IF(OR(K129="",L129=""),"",K129*L129)</x:f>
      </x:c>
      <x:c r="N129" s="108" t="str">
        <x:f>IF(I129="","Single",IF(LEFT(I129,2)="2x","Double","Single"))</x:f>
        <x:v>Single</x:v>
      </x:c>
      <x:c r="O129" s="109" t="n">
        <x:f>IF(N129="","",IF(N129="Double",Summary!$B$37,Summary!$B$36))</x:f>
        <x:v>5</x:v>
      </x:c>
      <x:c r="P129" s="109" t="str">
        <x:f>IF(K129="","",K129+O129)</x:f>
      </x:c>
      <x:c r="Q129" s="111" t="str">
        <x:f>IF(P129="","",P129*Summary!$B$35)</x:f>
      </x:c>
      <x:c r="R129" s="112" t="n">
        <x:f>IF(N129="","",IF(N129="Double",Summary!$B$39,Summary!$B$38))</x:f>
        <x:v>1.6</x:v>
      </x:c>
      <x:c r="S129" s="113" t="str">
        <x:f>IF(Q129="","",Q129*R129)</x:f>
      </x:c>
    </x:row>
    <x:row r="130">
      <x:c r="A130" s="107"/>
      <x:c r="B130" s="108"/>
      <x:c r="C130" s="108"/>
      <x:c r="D130" s="108"/>
      <x:c r="E130" s="108"/>
      <x:c r="F130" s="108"/>
      <x:c r="G130" s="108"/>
      <x:c r="H130" s="108"/>
      <x:c r="I130" s="108"/>
      <x:c r="J130" s="108"/>
      <x:c r="K130" s="109"/>
      <x:c r="L130" s="110"/>
      <x:c r="M130" s="109" t="str">
        <x:f>IF(OR(K130="",L130=""),"",K130*L130)</x:f>
      </x:c>
      <x:c r="N130" s="108" t="str">
        <x:f>IF(I130="","Single",IF(LEFT(I130,2)="2x","Double","Single"))</x:f>
        <x:v>Single</x:v>
      </x:c>
      <x:c r="O130" s="109" t="n">
        <x:f>IF(N130="","",IF(N130="Double",Summary!$B$37,Summary!$B$36))</x:f>
        <x:v>5</x:v>
      </x:c>
      <x:c r="P130" s="109" t="str">
        <x:f>IF(K130="","",K130+O130)</x:f>
      </x:c>
      <x:c r="Q130" s="111" t="str">
        <x:f>IF(P130="","",P130*Summary!$B$35)</x:f>
      </x:c>
      <x:c r="R130" s="112" t="n">
        <x:f>IF(N130="","",IF(N130="Double",Summary!$B$39,Summary!$B$38))</x:f>
        <x:v>1.6</x:v>
      </x:c>
      <x:c r="S130" s="113" t="str">
        <x:f>IF(Q130="","",Q130*R130)</x:f>
      </x:c>
    </x:row>
    <x:row r="131">
      <x:c r="A131" s="107"/>
      <x:c r="B131" s="108"/>
      <x:c r="C131" s="108"/>
      <x:c r="D131" s="108"/>
      <x:c r="E131" s="108"/>
      <x:c r="F131" s="108"/>
      <x:c r="G131" s="108"/>
      <x:c r="H131" s="108"/>
      <x:c r="I131" s="108"/>
      <x:c r="J131" s="108"/>
      <x:c r="K131" s="109"/>
      <x:c r="L131" s="110"/>
      <x:c r="M131" s="109" t="str">
        <x:f>IF(OR(K131="",L131=""),"",K131*L131)</x:f>
      </x:c>
      <x:c r="N131" s="108" t="str">
        <x:f>IF(I131="","Single",IF(LEFT(I131,2)="2x","Double","Single"))</x:f>
        <x:v>Single</x:v>
      </x:c>
      <x:c r="O131" s="109" t="n">
        <x:f>IF(N131="","",IF(N131="Double",Summary!$B$37,Summary!$B$36))</x:f>
        <x:v>5</x:v>
      </x:c>
      <x:c r="P131" s="109" t="str">
        <x:f>IF(K131="","",K131+O131)</x:f>
      </x:c>
      <x:c r="Q131" s="111" t="str">
        <x:f>IF(P131="","",P131*Summary!$B$35)</x:f>
      </x:c>
      <x:c r="R131" s="112" t="n">
        <x:f>IF(N131="","",IF(N131="Double",Summary!$B$39,Summary!$B$38))</x:f>
        <x:v>1.6</x:v>
      </x:c>
      <x:c r="S131" s="113" t="str">
        <x:f>IF(Q131="","",Q131*R131)</x:f>
      </x:c>
    </x:row>
    <x:row r="132">
      <x:c r="A132" s="107"/>
      <x:c r="B132" s="108"/>
      <x:c r="C132" s="108"/>
      <x:c r="D132" s="108"/>
      <x:c r="E132" s="108"/>
      <x:c r="F132" s="108"/>
      <x:c r="G132" s="108"/>
      <x:c r="H132" s="108"/>
      <x:c r="I132" s="108"/>
      <x:c r="J132" s="108"/>
      <x:c r="K132" s="109"/>
      <x:c r="L132" s="110"/>
      <x:c r="M132" s="109" t="str">
        <x:f>IF(OR(K132="",L132=""),"",K132*L132)</x:f>
      </x:c>
      <x:c r="N132" s="108" t="str">
        <x:f>IF(I132="","Single",IF(LEFT(I132,2)="2x","Double","Single"))</x:f>
        <x:v>Single</x:v>
      </x:c>
      <x:c r="O132" s="109" t="n">
        <x:f>IF(N132="","",IF(N132="Double",Summary!$B$37,Summary!$B$36))</x:f>
        <x:v>5</x:v>
      </x:c>
      <x:c r="P132" s="109" t="str">
        <x:f>IF(K132="","",K132+O132)</x:f>
      </x:c>
      <x:c r="Q132" s="111" t="str">
        <x:f>IF(P132="","",P132*Summary!$B$35)</x:f>
      </x:c>
      <x:c r="R132" s="112" t="n">
        <x:f>IF(N132="","",IF(N132="Double",Summary!$B$39,Summary!$B$38))</x:f>
        <x:v>1.6</x:v>
      </x:c>
      <x:c r="S132" s="113" t="str">
        <x:f>IF(Q132="","",Q132*R132)</x:f>
      </x:c>
    </x:row>
    <x:row r="133">
      <x:c r="A133" s="107"/>
      <x:c r="B133" s="108"/>
      <x:c r="C133" s="108"/>
      <x:c r="D133" s="108"/>
      <x:c r="E133" s="108"/>
      <x:c r="F133" s="108"/>
      <x:c r="G133" s="108"/>
      <x:c r="H133" s="108"/>
      <x:c r="I133" s="108"/>
      <x:c r="J133" s="108"/>
      <x:c r="K133" s="109"/>
      <x:c r="L133" s="110"/>
      <x:c r="M133" s="109" t="str">
        <x:f>IF(OR(K133="",L133=""),"",K133*L133)</x:f>
      </x:c>
      <x:c r="N133" s="108" t="str">
        <x:f>IF(I133="","Single",IF(LEFT(I133,2)="2x","Double","Single"))</x:f>
        <x:v>Single</x:v>
      </x:c>
      <x:c r="O133" s="109" t="n">
        <x:f>IF(N133="","",IF(N133="Double",Summary!$B$37,Summary!$B$36))</x:f>
        <x:v>5</x:v>
      </x:c>
      <x:c r="P133" s="109" t="str">
        <x:f>IF(K133="","",K133+O133)</x:f>
      </x:c>
      <x:c r="Q133" s="111" t="str">
        <x:f>IF(P133="","",P133*Summary!$B$35)</x:f>
      </x:c>
      <x:c r="R133" s="112" t="n">
        <x:f>IF(N133="","",IF(N133="Double",Summary!$B$39,Summary!$B$38))</x:f>
        <x:v>1.6</x:v>
      </x:c>
      <x:c r="S133" s="113" t="str">
        <x:f>IF(Q133="","",Q133*R133)</x:f>
      </x:c>
    </x:row>
    <x:row r="134">
      <x:c r="A134" s="107"/>
      <x:c r="B134" s="108"/>
      <x:c r="C134" s="108"/>
      <x:c r="D134" s="108"/>
      <x:c r="E134" s="108"/>
      <x:c r="F134" s="108"/>
      <x:c r="G134" s="108"/>
      <x:c r="H134" s="108"/>
      <x:c r="I134" s="108"/>
      <x:c r="J134" s="108"/>
      <x:c r="K134" s="109"/>
      <x:c r="L134" s="110"/>
      <x:c r="M134" s="109" t="str">
        <x:f>IF(OR(K134="",L134=""),"",K134*L134)</x:f>
      </x:c>
      <x:c r="N134" s="108" t="str">
        <x:f>IF(I134="","Single",IF(LEFT(I134,2)="2x","Double","Single"))</x:f>
        <x:v>Single</x:v>
      </x:c>
      <x:c r="O134" s="109" t="n">
        <x:f>IF(N134="","",IF(N134="Double",Summary!$B$37,Summary!$B$36))</x:f>
        <x:v>5</x:v>
      </x:c>
      <x:c r="P134" s="109" t="str">
        <x:f>IF(K134="","",K134+O134)</x:f>
      </x:c>
      <x:c r="Q134" s="111" t="str">
        <x:f>IF(P134="","",P134*Summary!$B$35)</x:f>
      </x:c>
      <x:c r="R134" s="112" t="n">
        <x:f>IF(N134="","",IF(N134="Double",Summary!$B$39,Summary!$B$38))</x:f>
        <x:v>1.6</x:v>
      </x:c>
      <x:c r="S134" s="113" t="str">
        <x:f>IF(Q134="","",Q134*R134)</x:f>
      </x:c>
    </x:row>
    <x:row r="135">
      <x:c r="A135" s="107"/>
      <x:c r="B135" s="108"/>
      <x:c r="C135" s="108"/>
      <x:c r="D135" s="108"/>
      <x:c r="E135" s="108"/>
      <x:c r="F135" s="108"/>
      <x:c r="G135" s="108"/>
      <x:c r="H135" s="108"/>
      <x:c r="I135" s="108"/>
      <x:c r="J135" s="108"/>
      <x:c r="K135" s="109"/>
      <x:c r="L135" s="110"/>
      <x:c r="M135" s="109" t="str">
        <x:f>IF(OR(K135="",L135=""),"",K135*L135)</x:f>
      </x:c>
      <x:c r="N135" s="108" t="str">
        <x:f>IF(I135="","Single",IF(LEFT(I135,2)="2x","Double","Single"))</x:f>
        <x:v>Single</x:v>
      </x:c>
      <x:c r="O135" s="109" t="n">
        <x:f>IF(N135="","",IF(N135="Double",Summary!$B$37,Summary!$B$36))</x:f>
        <x:v>5</x:v>
      </x:c>
      <x:c r="P135" s="109" t="str">
        <x:f>IF(K135="","",K135+O135)</x:f>
      </x:c>
      <x:c r="Q135" s="111" t="str">
        <x:f>IF(P135="","",P135*Summary!$B$35)</x:f>
      </x:c>
      <x:c r="R135" s="112" t="n">
        <x:f>IF(N135="","",IF(N135="Double",Summary!$B$39,Summary!$B$38))</x:f>
        <x:v>1.6</x:v>
      </x:c>
      <x:c r="S135" s="113" t="str">
        <x:f>IF(Q135="","",Q135*R135)</x:f>
      </x:c>
    </x:row>
    <x:row r="136">
      <x:c r="A136" s="107"/>
      <x:c r="B136" s="108"/>
      <x:c r="C136" s="108"/>
      <x:c r="D136" s="108"/>
      <x:c r="E136" s="108"/>
      <x:c r="F136" s="108"/>
      <x:c r="G136" s="108"/>
      <x:c r="H136" s="108"/>
      <x:c r="I136" s="108"/>
      <x:c r="J136" s="108"/>
      <x:c r="K136" s="109"/>
      <x:c r="L136" s="110"/>
      <x:c r="M136" s="109" t="str">
        <x:f>IF(OR(K136="",L136=""),"",K136*L136)</x:f>
      </x:c>
      <x:c r="N136" s="108" t="str">
        <x:f>IF(I136="","Single",IF(LEFT(I136,2)="2x","Double","Single"))</x:f>
        <x:v>Single</x:v>
      </x:c>
      <x:c r="O136" s="109" t="n">
        <x:f>IF(N136="","",IF(N136="Double",Summary!$B$37,Summary!$B$36))</x:f>
        <x:v>5</x:v>
      </x:c>
      <x:c r="P136" s="109" t="str">
        <x:f>IF(K136="","",K136+O136)</x:f>
      </x:c>
      <x:c r="Q136" s="111" t="str">
        <x:f>IF(P136="","",P136*Summary!$B$35)</x:f>
      </x:c>
      <x:c r="R136" s="112" t="n">
        <x:f>IF(N136="","",IF(N136="Double",Summary!$B$39,Summary!$B$38))</x:f>
        <x:v>1.6</x:v>
      </x:c>
      <x:c r="S136" s="113" t="str">
        <x:f>IF(Q136="","",Q136*R136)</x:f>
      </x:c>
    </x:row>
    <x:row r="137">
      <x:c r="A137" s="107"/>
      <x:c r="B137" s="108"/>
      <x:c r="C137" s="108"/>
      <x:c r="D137" s="108"/>
      <x:c r="E137" s="108"/>
      <x:c r="F137" s="108"/>
      <x:c r="G137" s="108"/>
      <x:c r="H137" s="108"/>
      <x:c r="I137" s="108"/>
      <x:c r="J137" s="108"/>
      <x:c r="K137" s="109"/>
      <x:c r="L137" s="110"/>
      <x:c r="M137" s="109" t="str">
        <x:f>IF(OR(K137="",L137=""),"",K137*L137)</x:f>
      </x:c>
      <x:c r="N137" s="108" t="str">
        <x:f>IF(I137="","Single",IF(LEFT(I137,2)="2x","Double","Single"))</x:f>
        <x:v>Single</x:v>
      </x:c>
      <x:c r="O137" s="109" t="n">
        <x:f>IF(N137="","",IF(N137="Double",Summary!$B$37,Summary!$B$36))</x:f>
        <x:v>5</x:v>
      </x:c>
      <x:c r="P137" s="109" t="str">
        <x:f>IF(K137="","",K137+O137)</x:f>
      </x:c>
      <x:c r="Q137" s="111" t="str">
        <x:f>IF(P137="","",P137*Summary!$B$35)</x:f>
      </x:c>
      <x:c r="R137" s="112" t="n">
        <x:f>IF(N137="","",IF(N137="Double",Summary!$B$39,Summary!$B$38))</x:f>
        <x:v>1.6</x:v>
      </x:c>
      <x:c r="S137" s="113" t="str">
        <x:f>IF(Q137="","",Q137*R137)</x:f>
      </x:c>
    </x:row>
    <x:row r="138">
      <x:c r="A138" s="107"/>
      <x:c r="B138" s="108"/>
      <x:c r="C138" s="108"/>
      <x:c r="D138" s="108"/>
      <x:c r="E138" s="108"/>
      <x:c r="F138" s="108"/>
      <x:c r="G138" s="108"/>
      <x:c r="H138" s="108"/>
      <x:c r="I138" s="108"/>
      <x:c r="J138" s="108"/>
      <x:c r="K138" s="109"/>
      <x:c r="L138" s="110"/>
      <x:c r="M138" s="109" t="str">
        <x:f>IF(OR(K138="",L138=""),"",K138*L138)</x:f>
      </x:c>
      <x:c r="N138" s="108" t="str">
        <x:f>IF(I138="","Single",IF(LEFT(I138,2)="2x","Double","Single"))</x:f>
        <x:v>Single</x:v>
      </x:c>
      <x:c r="O138" s="109" t="n">
        <x:f>IF(N138="","",IF(N138="Double",Summary!$B$37,Summary!$B$36))</x:f>
        <x:v>5</x:v>
      </x:c>
      <x:c r="P138" s="109" t="str">
        <x:f>IF(K138="","",K138+O138)</x:f>
      </x:c>
      <x:c r="Q138" s="111" t="str">
        <x:f>IF(P138="","",P138*Summary!$B$35)</x:f>
      </x:c>
      <x:c r="R138" s="112" t="n">
        <x:f>IF(N138="","",IF(N138="Double",Summary!$B$39,Summary!$B$38))</x:f>
        <x:v>1.6</x:v>
      </x:c>
      <x:c r="S138" s="113" t="str">
        <x:f>IF(Q138="","",Q138*R138)</x:f>
      </x:c>
    </x:row>
    <x:row r="139">
      <x:c r="A139" s="107"/>
      <x:c r="B139" s="108"/>
      <x:c r="C139" s="108"/>
      <x:c r="D139" s="108"/>
      <x:c r="E139" s="108"/>
      <x:c r="F139" s="108"/>
      <x:c r="G139" s="108"/>
      <x:c r="H139" s="108"/>
      <x:c r="I139" s="108"/>
      <x:c r="J139" s="108"/>
      <x:c r="K139" s="109"/>
      <x:c r="L139" s="110"/>
      <x:c r="M139" s="109" t="str">
        <x:f>IF(OR(K139="",L139=""),"",K139*L139)</x:f>
      </x:c>
      <x:c r="N139" s="108" t="str">
        <x:f>IF(I139="","Single",IF(LEFT(I139,2)="2x","Double","Single"))</x:f>
        <x:v>Single</x:v>
      </x:c>
      <x:c r="O139" s="109" t="n">
        <x:f>IF(N139="","",IF(N139="Double",Summary!$B$37,Summary!$B$36))</x:f>
        <x:v>5</x:v>
      </x:c>
      <x:c r="P139" s="109" t="str">
        <x:f>IF(K139="","",K139+O139)</x:f>
      </x:c>
      <x:c r="Q139" s="111" t="str">
        <x:f>IF(P139="","",P139*Summary!$B$35)</x:f>
      </x:c>
      <x:c r="R139" s="112" t="n">
        <x:f>IF(N139="","",IF(N139="Double",Summary!$B$39,Summary!$B$38))</x:f>
        <x:v>1.6</x:v>
      </x:c>
      <x:c r="S139" s="113" t="str">
        <x:f>IF(Q139="","",Q139*R139)</x:f>
      </x:c>
    </x:row>
    <x:row r="140">
      <x:c r="A140" s="107"/>
      <x:c r="B140" s="108"/>
      <x:c r="C140" s="108"/>
      <x:c r="D140" s="108"/>
      <x:c r="E140" s="108"/>
      <x:c r="F140" s="108"/>
      <x:c r="G140" s="108"/>
      <x:c r="H140" s="108"/>
      <x:c r="I140" s="108"/>
      <x:c r="J140" s="108"/>
      <x:c r="K140" s="109"/>
      <x:c r="L140" s="110"/>
      <x:c r="M140" s="109" t="str">
        <x:f>IF(OR(K140="",L140=""),"",K140*L140)</x:f>
      </x:c>
      <x:c r="N140" s="108" t="str">
        <x:f>IF(I140="","Single",IF(LEFT(I140,2)="2x","Double","Single"))</x:f>
        <x:v>Single</x:v>
      </x:c>
      <x:c r="O140" s="109" t="n">
        <x:f>IF(N140="","",IF(N140="Double",Summary!$B$37,Summary!$B$36))</x:f>
        <x:v>5</x:v>
      </x:c>
      <x:c r="P140" s="109" t="str">
        <x:f>IF(K140="","",K140+O140)</x:f>
      </x:c>
      <x:c r="Q140" s="111" t="str">
        <x:f>IF(P140="","",P140*Summary!$B$35)</x:f>
      </x:c>
      <x:c r="R140" s="112" t="n">
        <x:f>IF(N140="","",IF(N140="Double",Summary!$B$39,Summary!$B$38))</x:f>
        <x:v>1.6</x:v>
      </x:c>
      <x:c r="S140" s="113" t="str">
        <x:f>IF(Q140="","",Q140*R140)</x:f>
      </x:c>
    </x:row>
    <x:row r="141">
      <x:c r="A141" s="107"/>
      <x:c r="B141" s="108"/>
      <x:c r="C141" s="108"/>
      <x:c r="D141" s="108"/>
      <x:c r="E141" s="108"/>
      <x:c r="F141" s="108"/>
      <x:c r="G141" s="108"/>
      <x:c r="H141" s="108"/>
      <x:c r="I141" s="108"/>
      <x:c r="J141" s="108"/>
      <x:c r="K141" s="109"/>
      <x:c r="L141" s="110"/>
      <x:c r="M141" s="109" t="str">
        <x:f>IF(OR(K141="",L141=""),"",K141*L141)</x:f>
      </x:c>
      <x:c r="N141" s="108" t="str">
        <x:f>IF(I141="","Single",IF(LEFT(I141,2)="2x","Double","Single"))</x:f>
        <x:v>Single</x:v>
      </x:c>
      <x:c r="O141" s="109" t="n">
        <x:f>IF(N141="","",IF(N141="Double",Summary!$B$37,Summary!$B$36))</x:f>
        <x:v>5</x:v>
      </x:c>
      <x:c r="P141" s="109" t="str">
        <x:f>IF(K141="","",K141+O141)</x:f>
      </x:c>
      <x:c r="Q141" s="111" t="str">
        <x:f>IF(P141="","",P141*Summary!$B$35)</x:f>
      </x:c>
      <x:c r="R141" s="112" t="n">
        <x:f>IF(N141="","",IF(N141="Double",Summary!$B$39,Summary!$B$38))</x:f>
        <x:v>1.6</x:v>
      </x:c>
      <x:c r="S141" s="113" t="str">
        <x:f>IF(Q141="","",Q141*R141)</x:f>
      </x:c>
    </x:row>
    <x:row r="142">
      <x:c r="A142" s="107"/>
      <x:c r="B142" s="108"/>
      <x:c r="C142" s="108"/>
      <x:c r="D142" s="108"/>
      <x:c r="E142" s="108"/>
      <x:c r="F142" s="108"/>
      <x:c r="G142" s="108"/>
      <x:c r="H142" s="108"/>
      <x:c r="I142" s="108"/>
      <x:c r="J142" s="108"/>
      <x:c r="K142" s="109"/>
      <x:c r="L142" s="110"/>
      <x:c r="M142" s="109" t="str">
        <x:f>IF(OR(K142="",L142=""),"",K142*L142)</x:f>
      </x:c>
      <x:c r="N142" s="108" t="str">
        <x:f>IF(I142="","Single",IF(LEFT(I142,2)="2x","Double","Single"))</x:f>
        <x:v>Single</x:v>
      </x:c>
      <x:c r="O142" s="109" t="n">
        <x:f>IF(N142="","",IF(N142="Double",Summary!$B$37,Summary!$B$36))</x:f>
        <x:v>5</x:v>
      </x:c>
      <x:c r="P142" s="109" t="str">
        <x:f>IF(K142="","",K142+O142)</x:f>
      </x:c>
      <x:c r="Q142" s="111" t="str">
        <x:f>IF(P142="","",P142*Summary!$B$35)</x:f>
      </x:c>
      <x:c r="R142" s="112" t="n">
        <x:f>IF(N142="","",IF(N142="Double",Summary!$B$39,Summary!$B$38))</x:f>
        <x:v>1.6</x:v>
      </x:c>
      <x:c r="S142" s="113" t="str">
        <x:f>IF(Q142="","",Q142*R142)</x:f>
      </x:c>
    </x:row>
    <x:row r="143">
      <x:c r="A143" s="107"/>
      <x:c r="B143" s="108"/>
      <x:c r="C143" s="108"/>
      <x:c r="D143" s="108"/>
      <x:c r="E143" s="108"/>
      <x:c r="F143" s="108"/>
      <x:c r="G143" s="108"/>
      <x:c r="H143" s="108"/>
      <x:c r="I143" s="108"/>
      <x:c r="J143" s="108"/>
      <x:c r="K143" s="109"/>
      <x:c r="L143" s="110"/>
      <x:c r="M143" s="109" t="str">
        <x:f>IF(OR(K143="",L143=""),"",K143*L143)</x:f>
      </x:c>
      <x:c r="N143" s="108" t="str">
        <x:f>IF(I143="","Single",IF(LEFT(I143,2)="2x","Double","Single"))</x:f>
        <x:v>Single</x:v>
      </x:c>
      <x:c r="O143" s="109" t="n">
        <x:f>IF(N143="","",IF(N143="Double",Summary!$B$37,Summary!$B$36))</x:f>
        <x:v>5</x:v>
      </x:c>
      <x:c r="P143" s="109" t="str">
        <x:f>IF(K143="","",K143+O143)</x:f>
      </x:c>
      <x:c r="Q143" s="111" t="str">
        <x:f>IF(P143="","",P143*Summary!$B$35)</x:f>
      </x:c>
      <x:c r="R143" s="112" t="n">
        <x:f>IF(N143="","",IF(N143="Double",Summary!$B$39,Summary!$B$38))</x:f>
        <x:v>1.6</x:v>
      </x:c>
      <x:c r="S143" s="113" t="str">
        <x:f>IF(Q143="","",Q143*R143)</x:f>
      </x:c>
    </x:row>
    <x:row r="144">
      <x:c r="A144" s="107"/>
      <x:c r="B144" s="108"/>
      <x:c r="C144" s="108"/>
      <x:c r="D144" s="108"/>
      <x:c r="E144" s="108"/>
      <x:c r="F144" s="108"/>
      <x:c r="G144" s="108"/>
      <x:c r="H144" s="108"/>
      <x:c r="I144" s="108"/>
      <x:c r="J144" s="108"/>
      <x:c r="K144" s="109"/>
      <x:c r="L144" s="110"/>
      <x:c r="M144" s="109" t="str">
        <x:f>IF(OR(K144="",L144=""),"",K144*L144)</x:f>
      </x:c>
      <x:c r="N144" s="108" t="str">
        <x:f>IF(I144="","Single",IF(LEFT(I144,2)="2x","Double","Single"))</x:f>
        <x:v>Single</x:v>
      </x:c>
      <x:c r="O144" s="109" t="n">
        <x:f>IF(N144="","",IF(N144="Double",Summary!$B$37,Summary!$B$36))</x:f>
        <x:v>5</x:v>
      </x:c>
      <x:c r="P144" s="109" t="str">
        <x:f>IF(K144="","",K144+O144)</x:f>
      </x:c>
      <x:c r="Q144" s="111" t="str">
        <x:f>IF(P144="","",P144*Summary!$B$35)</x:f>
      </x:c>
      <x:c r="R144" s="112" t="n">
        <x:f>IF(N144="","",IF(N144="Double",Summary!$B$39,Summary!$B$38))</x:f>
        <x:v>1.6</x:v>
      </x:c>
      <x:c r="S144" s="113" t="str">
        <x:f>IF(Q144="","",Q144*R144)</x:f>
      </x:c>
    </x:row>
    <x:row r="145">
      <x:c r="A145" s="107"/>
      <x:c r="B145" s="108"/>
      <x:c r="C145" s="108"/>
      <x:c r="D145" s="108"/>
      <x:c r="E145" s="108"/>
      <x:c r="F145" s="108"/>
      <x:c r="G145" s="108"/>
      <x:c r="H145" s="108"/>
      <x:c r="I145" s="108"/>
      <x:c r="J145" s="108"/>
      <x:c r="K145" s="109"/>
      <x:c r="L145" s="110"/>
      <x:c r="M145" s="109" t="str">
        <x:f>IF(OR(K145="",L145=""),"",K145*L145)</x:f>
      </x:c>
      <x:c r="N145" s="108" t="str">
        <x:f>IF(I145="","Single",IF(LEFT(I145,2)="2x","Double","Single"))</x:f>
        <x:v>Single</x:v>
      </x:c>
      <x:c r="O145" s="109" t="n">
        <x:f>IF(N145="","",IF(N145="Double",Summary!$B$37,Summary!$B$36))</x:f>
        <x:v>5</x:v>
      </x:c>
      <x:c r="P145" s="109" t="str">
        <x:f>IF(K145="","",K145+O145)</x:f>
      </x:c>
      <x:c r="Q145" s="111" t="str">
        <x:f>IF(P145="","",P145*Summary!$B$35)</x:f>
      </x:c>
      <x:c r="R145" s="112" t="n">
        <x:f>IF(N145="","",IF(N145="Double",Summary!$B$39,Summary!$B$38))</x:f>
        <x:v>1.6</x:v>
      </x:c>
      <x:c r="S145" s="113" t="str">
        <x:f>IF(Q145="","",Q145*R145)</x:f>
      </x:c>
    </x:row>
    <x:row r="146">
      <x:c r="A146" s="107"/>
      <x:c r="B146" s="108"/>
      <x:c r="C146" s="108"/>
      <x:c r="D146" s="108"/>
      <x:c r="E146" s="108"/>
      <x:c r="F146" s="108"/>
      <x:c r="G146" s="108"/>
      <x:c r="H146" s="108"/>
      <x:c r="I146" s="108"/>
      <x:c r="J146" s="108"/>
      <x:c r="K146" s="109"/>
      <x:c r="L146" s="110"/>
      <x:c r="M146" s="109" t="str">
        <x:f>IF(OR(K146="",L146=""),"",K146*L146)</x:f>
      </x:c>
      <x:c r="N146" s="108" t="str">
        <x:f>IF(I146="","Single",IF(LEFT(I146,2)="2x","Double","Single"))</x:f>
        <x:v>Single</x:v>
      </x:c>
      <x:c r="O146" s="109" t="n">
        <x:f>IF(N146="","",IF(N146="Double",Summary!$B$37,Summary!$B$36))</x:f>
        <x:v>5</x:v>
      </x:c>
      <x:c r="P146" s="109" t="str">
        <x:f>IF(K146="","",K146+O146)</x:f>
      </x:c>
      <x:c r="Q146" s="111" t="str">
        <x:f>IF(P146="","",P146*Summary!$B$35)</x:f>
      </x:c>
      <x:c r="R146" s="112" t="n">
        <x:f>IF(N146="","",IF(N146="Double",Summary!$B$39,Summary!$B$38))</x:f>
        <x:v>1.6</x:v>
      </x:c>
      <x:c r="S146" s="113" t="str">
        <x:f>IF(Q146="","",Q146*R146)</x:f>
      </x:c>
    </x:row>
    <x:row r="147">
      <x:c r="A147" s="107"/>
      <x:c r="B147" s="108"/>
      <x:c r="C147" s="108"/>
      <x:c r="D147" s="108"/>
      <x:c r="E147" s="108"/>
      <x:c r="F147" s="108"/>
      <x:c r="G147" s="108"/>
      <x:c r="H147" s="108"/>
      <x:c r="I147" s="108"/>
      <x:c r="J147" s="108"/>
      <x:c r="K147" s="109"/>
      <x:c r="L147" s="110"/>
      <x:c r="M147" s="109" t="str">
        <x:f>IF(OR(K147="",L147=""),"",K147*L147)</x:f>
      </x:c>
      <x:c r="N147" s="108" t="str">
        <x:f>IF(I147="","Single",IF(LEFT(I147,2)="2x","Double","Single"))</x:f>
        <x:v>Single</x:v>
      </x:c>
      <x:c r="O147" s="109" t="n">
        <x:f>IF(N147="","",IF(N147="Double",Summary!$B$37,Summary!$B$36))</x:f>
        <x:v>5</x:v>
      </x:c>
      <x:c r="P147" s="109" t="str">
        <x:f>IF(K147="","",K147+O147)</x:f>
      </x:c>
      <x:c r="Q147" s="111" t="str">
        <x:f>IF(P147="","",P147*Summary!$B$35)</x:f>
      </x:c>
      <x:c r="R147" s="112" t="n">
        <x:f>IF(N147="","",IF(N147="Double",Summary!$B$39,Summary!$B$38))</x:f>
        <x:v>1.6</x:v>
      </x:c>
      <x:c r="S147" s="113" t="str">
        <x:f>IF(Q147="","",Q147*R147)</x:f>
      </x:c>
    </x:row>
    <x:row r="148">
      <x:c r="A148" s="107"/>
      <x:c r="B148" s="108"/>
      <x:c r="C148" s="108"/>
      <x:c r="D148" s="108"/>
      <x:c r="E148" s="108"/>
      <x:c r="F148" s="108"/>
      <x:c r="G148" s="108"/>
      <x:c r="H148" s="108"/>
      <x:c r="I148" s="108"/>
      <x:c r="J148" s="108"/>
      <x:c r="K148" s="109"/>
      <x:c r="L148" s="110"/>
      <x:c r="M148" s="109" t="str">
        <x:f>IF(OR(K148="",L148=""),"",K148*L148)</x:f>
      </x:c>
      <x:c r="N148" s="108" t="str">
        <x:f>IF(I148="","Single",IF(LEFT(I148,2)="2x","Double","Single"))</x:f>
        <x:v>Single</x:v>
      </x:c>
      <x:c r="O148" s="109" t="n">
        <x:f>IF(N148="","",IF(N148="Double",Summary!$B$37,Summary!$B$36))</x:f>
        <x:v>5</x:v>
      </x:c>
      <x:c r="P148" s="109" t="str">
        <x:f>IF(K148="","",K148+O148)</x:f>
      </x:c>
      <x:c r="Q148" s="111" t="str">
        <x:f>IF(P148="","",P148*Summary!$B$35)</x:f>
      </x:c>
      <x:c r="R148" s="112" t="n">
        <x:f>IF(N148="","",IF(N148="Double",Summary!$B$39,Summary!$B$38))</x:f>
        <x:v>1.6</x:v>
      </x:c>
      <x:c r="S148" s="113" t="str">
        <x:f>IF(Q148="","",Q148*R148)</x:f>
      </x:c>
    </x:row>
    <x:row r="149">
      <x:c r="A149" s="107"/>
      <x:c r="B149" s="108"/>
      <x:c r="C149" s="108"/>
      <x:c r="D149" s="108"/>
      <x:c r="E149" s="108"/>
      <x:c r="F149" s="108"/>
      <x:c r="G149" s="108"/>
      <x:c r="H149" s="108"/>
      <x:c r="I149" s="108"/>
      <x:c r="J149" s="108"/>
      <x:c r="K149" s="109"/>
      <x:c r="L149" s="110"/>
      <x:c r="M149" s="109" t="str">
        <x:f>IF(OR(K149="",L149=""),"",K149*L149)</x:f>
      </x:c>
      <x:c r="N149" s="108" t="str">
        <x:f>IF(I149="","Single",IF(LEFT(I149,2)="2x","Double","Single"))</x:f>
        <x:v>Single</x:v>
      </x:c>
      <x:c r="O149" s="109" t="n">
        <x:f>IF(N149="","",IF(N149="Double",Summary!$B$37,Summary!$B$36))</x:f>
        <x:v>5</x:v>
      </x:c>
      <x:c r="P149" s="109" t="str">
        <x:f>IF(K149="","",K149+O149)</x:f>
      </x:c>
      <x:c r="Q149" s="111" t="str">
        <x:f>IF(P149="","",P149*Summary!$B$35)</x:f>
      </x:c>
      <x:c r="R149" s="112" t="n">
        <x:f>IF(N149="","",IF(N149="Double",Summary!$B$39,Summary!$B$38))</x:f>
        <x:v>1.6</x:v>
      </x:c>
      <x:c r="S149" s="113" t="str">
        <x:f>IF(Q149="","",Q149*R149)</x:f>
      </x:c>
    </x:row>
    <x:row r="150">
      <x:c r="A150" s="107"/>
      <x:c r="B150" s="108"/>
      <x:c r="C150" s="108"/>
      <x:c r="D150" s="108"/>
      <x:c r="E150" s="108"/>
      <x:c r="F150" s="108"/>
      <x:c r="G150" s="108"/>
      <x:c r="H150" s="108"/>
      <x:c r="I150" s="108"/>
      <x:c r="J150" s="108"/>
      <x:c r="K150" s="109"/>
      <x:c r="L150" s="110"/>
      <x:c r="M150" s="109" t="str">
        <x:f>IF(OR(K150="",L150=""),"",K150*L150)</x:f>
      </x:c>
      <x:c r="N150" s="108" t="str">
        <x:f>IF(I150="","Single",IF(LEFT(I150,2)="2x","Double","Single"))</x:f>
        <x:v>Single</x:v>
      </x:c>
      <x:c r="O150" s="109" t="n">
        <x:f>IF(N150="","",IF(N150="Double",Summary!$B$37,Summary!$B$36))</x:f>
        <x:v>5</x:v>
      </x:c>
      <x:c r="P150" s="109" t="str">
        <x:f>IF(K150="","",K150+O150)</x:f>
      </x:c>
      <x:c r="Q150" s="111" t="str">
        <x:f>IF(P150="","",P150*Summary!$B$35)</x:f>
      </x:c>
      <x:c r="R150" s="112" t="n">
        <x:f>IF(N150="","",IF(N150="Double",Summary!$B$39,Summary!$B$38))</x:f>
        <x:v>1.6</x:v>
      </x:c>
      <x:c r="S150" s="113" t="str">
        <x:f>IF(Q150="","",Q150*R150)</x:f>
      </x:c>
    </x:row>
    <x:row r="151">
      <x:c r="A151" s="107"/>
      <x:c r="B151" s="108"/>
      <x:c r="C151" s="108"/>
      <x:c r="D151" s="108"/>
      <x:c r="E151" s="108"/>
      <x:c r="F151" s="108"/>
      <x:c r="G151" s="108"/>
      <x:c r="H151" s="108"/>
      <x:c r="I151" s="108"/>
      <x:c r="J151" s="108"/>
      <x:c r="K151" s="109"/>
      <x:c r="L151" s="110"/>
      <x:c r="M151" s="109" t="str">
        <x:f>IF(OR(K151="",L151=""),"",K151*L151)</x:f>
      </x:c>
      <x:c r="N151" s="108" t="str">
        <x:f>IF(I151="","Single",IF(LEFT(I151,2)="2x","Double","Single"))</x:f>
        <x:v>Single</x:v>
      </x:c>
      <x:c r="O151" s="109" t="n">
        <x:f>IF(N151="","",IF(N151="Double",Summary!$B$37,Summary!$B$36))</x:f>
        <x:v>5</x:v>
      </x:c>
      <x:c r="P151" s="109" t="str">
        <x:f>IF(K151="","",K151+O151)</x:f>
      </x:c>
      <x:c r="Q151" s="111" t="str">
        <x:f>IF(P151="","",P151*Summary!$B$35)</x:f>
      </x:c>
      <x:c r="R151" s="112" t="n">
        <x:f>IF(N151="","",IF(N151="Double",Summary!$B$39,Summary!$B$38))</x:f>
        <x:v>1.6</x:v>
      </x:c>
      <x:c r="S151" s="113" t="str">
        <x:f>IF(Q151="","",Q151*R151)</x:f>
      </x:c>
    </x:row>
    <x:row r="152">
      <x:c r="A152" s="107"/>
      <x:c r="B152" s="108"/>
      <x:c r="C152" s="108"/>
      <x:c r="D152" s="108"/>
      <x:c r="E152" s="108"/>
      <x:c r="F152" s="108"/>
      <x:c r="G152" s="108"/>
      <x:c r="H152" s="108"/>
      <x:c r="I152" s="108"/>
      <x:c r="J152" s="108"/>
      <x:c r="K152" s="109"/>
      <x:c r="L152" s="110"/>
      <x:c r="M152" s="109" t="str">
        <x:f>IF(OR(K152="",L152=""),"",K152*L152)</x:f>
      </x:c>
      <x:c r="N152" s="108" t="str">
        <x:f>IF(I152="","Single",IF(LEFT(I152,2)="2x","Double","Single"))</x:f>
        <x:v>Single</x:v>
      </x:c>
      <x:c r="O152" s="109" t="n">
        <x:f>IF(N152="","",IF(N152="Double",Summary!$B$37,Summary!$B$36))</x:f>
        <x:v>5</x:v>
      </x:c>
      <x:c r="P152" s="109" t="str">
        <x:f>IF(K152="","",K152+O152)</x:f>
      </x:c>
      <x:c r="Q152" s="111" t="str">
        <x:f>IF(P152="","",P152*Summary!$B$35)</x:f>
      </x:c>
      <x:c r="R152" s="112" t="n">
        <x:f>IF(N152="","",IF(N152="Double",Summary!$B$39,Summary!$B$38))</x:f>
        <x:v>1.6</x:v>
      </x:c>
      <x:c r="S152" s="113" t="str">
        <x:f>IF(Q152="","",Q152*R152)</x:f>
      </x:c>
    </x:row>
    <x:row r="153">
      <x:c r="A153" s="107"/>
      <x:c r="B153" s="108"/>
      <x:c r="C153" s="108"/>
      <x:c r="D153" s="108"/>
      <x:c r="E153" s="108"/>
      <x:c r="F153" s="108"/>
      <x:c r="G153" s="108"/>
      <x:c r="H153" s="108"/>
      <x:c r="I153" s="108"/>
      <x:c r="J153" s="108"/>
      <x:c r="K153" s="109"/>
      <x:c r="L153" s="110"/>
      <x:c r="M153" s="109" t="str">
        <x:f>IF(OR(K153="",L153=""),"",K153*L153)</x:f>
      </x:c>
      <x:c r="N153" s="108" t="str">
        <x:f>IF(I153="","Single",IF(LEFT(I153,2)="2x","Double","Single"))</x:f>
        <x:v>Single</x:v>
      </x:c>
      <x:c r="O153" s="109" t="n">
        <x:f>IF(N153="","",IF(N153="Double",Summary!$B$37,Summary!$B$36))</x:f>
        <x:v>5</x:v>
      </x:c>
      <x:c r="P153" s="109" t="str">
        <x:f>IF(K153="","",K153+O153)</x:f>
      </x:c>
      <x:c r="Q153" s="111" t="str">
        <x:f>IF(P153="","",P153*Summary!$B$35)</x:f>
      </x:c>
      <x:c r="R153" s="112" t="n">
        <x:f>IF(N153="","",IF(N153="Double",Summary!$B$39,Summary!$B$38))</x:f>
        <x:v>1.6</x:v>
      </x:c>
      <x:c r="S153" s="113" t="str">
        <x:f>IF(Q153="","",Q153*R153)</x:f>
      </x:c>
    </x:row>
    <x:row r="154">
      <x:c r="A154" s="107"/>
      <x:c r="B154" s="108"/>
      <x:c r="C154" s="108"/>
      <x:c r="D154" s="108"/>
      <x:c r="E154" s="108"/>
      <x:c r="F154" s="108"/>
      <x:c r="G154" s="108"/>
      <x:c r="H154" s="108"/>
      <x:c r="I154" s="108"/>
      <x:c r="J154" s="108"/>
      <x:c r="K154" s="109"/>
      <x:c r="L154" s="110"/>
      <x:c r="M154" s="109" t="str">
        <x:f>IF(OR(K154="",L154=""),"",K154*L154)</x:f>
      </x:c>
      <x:c r="N154" s="108" t="str">
        <x:f>IF(I154="","Single",IF(LEFT(I154,2)="2x","Double","Single"))</x:f>
        <x:v>Single</x:v>
      </x:c>
      <x:c r="O154" s="109" t="n">
        <x:f>IF(N154="","",IF(N154="Double",Summary!$B$37,Summary!$B$36))</x:f>
        <x:v>5</x:v>
      </x:c>
      <x:c r="P154" s="109" t="str">
        <x:f>IF(K154="","",K154+O154)</x:f>
      </x:c>
      <x:c r="Q154" s="111" t="str">
        <x:f>IF(P154="","",P154*Summary!$B$35)</x:f>
      </x:c>
      <x:c r="R154" s="112" t="n">
        <x:f>IF(N154="","",IF(N154="Double",Summary!$B$39,Summary!$B$38))</x:f>
        <x:v>1.6</x:v>
      </x:c>
      <x:c r="S154" s="113" t="str">
        <x:f>IF(Q154="","",Q154*R154)</x:f>
      </x:c>
    </x:row>
    <x:row r="155">
      <x:c r="A155" s="107"/>
      <x:c r="B155" s="108"/>
      <x:c r="C155" s="108"/>
      <x:c r="D155" s="108"/>
      <x:c r="E155" s="108"/>
      <x:c r="F155" s="108"/>
      <x:c r="G155" s="108"/>
      <x:c r="H155" s="108"/>
      <x:c r="I155" s="108"/>
      <x:c r="J155" s="108"/>
      <x:c r="K155" s="109"/>
      <x:c r="L155" s="110"/>
      <x:c r="M155" s="109" t="str">
        <x:f>IF(OR(K155="",L155=""),"",K155*L155)</x:f>
      </x:c>
      <x:c r="N155" s="108" t="str">
        <x:f>IF(I155="","Single",IF(LEFT(I155,2)="2x","Double","Single"))</x:f>
        <x:v>Single</x:v>
      </x:c>
      <x:c r="O155" s="109" t="n">
        <x:f>IF(N155="","",IF(N155="Double",Summary!$B$37,Summary!$B$36))</x:f>
        <x:v>5</x:v>
      </x:c>
      <x:c r="P155" s="109" t="str">
        <x:f>IF(K155="","",K155+O155)</x:f>
      </x:c>
      <x:c r="Q155" s="111" t="str">
        <x:f>IF(P155="","",P155*Summary!$B$35)</x:f>
      </x:c>
      <x:c r="R155" s="112" t="n">
        <x:f>IF(N155="","",IF(N155="Double",Summary!$B$39,Summary!$B$38))</x:f>
        <x:v>1.6</x:v>
      </x:c>
      <x:c r="S155" s="113" t="str">
        <x:f>IF(Q155="","",Q155*R155)</x:f>
      </x:c>
    </x:row>
    <x:row r="156">
      <x:c r="A156" s="107"/>
      <x:c r="B156" s="108"/>
      <x:c r="C156" s="108"/>
      <x:c r="D156" s="108"/>
      <x:c r="E156" s="108"/>
      <x:c r="F156" s="108"/>
      <x:c r="G156" s="108"/>
      <x:c r="H156" s="108"/>
      <x:c r="I156" s="108"/>
      <x:c r="J156" s="108"/>
      <x:c r="K156" s="109"/>
      <x:c r="L156" s="110"/>
      <x:c r="M156" s="109" t="str">
        <x:f>IF(OR(K156="",L156=""),"",K156*L156)</x:f>
      </x:c>
      <x:c r="N156" s="108" t="str">
        <x:f>IF(I156="","Single",IF(LEFT(I156,2)="2x","Double","Single"))</x:f>
        <x:v>Single</x:v>
      </x:c>
      <x:c r="O156" s="109" t="n">
        <x:f>IF(N156="","",IF(N156="Double",Summary!$B$37,Summary!$B$36))</x:f>
        <x:v>5</x:v>
      </x:c>
      <x:c r="P156" s="109" t="str">
        <x:f>IF(K156="","",K156+O156)</x:f>
      </x:c>
      <x:c r="Q156" s="111" t="str">
        <x:f>IF(P156="","",P156*Summary!$B$35)</x:f>
      </x:c>
      <x:c r="R156" s="112" t="n">
        <x:f>IF(N156="","",IF(N156="Double",Summary!$B$39,Summary!$B$38))</x:f>
        <x:v>1.6</x:v>
      </x:c>
      <x:c r="S156" s="113" t="str">
        <x:f>IF(Q156="","",Q156*R156)</x:f>
      </x:c>
    </x:row>
    <x:row r="157">
      <x:c r="A157" s="107"/>
      <x:c r="B157" s="108"/>
      <x:c r="C157" s="108"/>
      <x:c r="D157" s="108"/>
      <x:c r="E157" s="108"/>
      <x:c r="F157" s="108"/>
      <x:c r="G157" s="108"/>
      <x:c r="H157" s="108"/>
      <x:c r="I157" s="108"/>
      <x:c r="J157" s="108"/>
      <x:c r="K157" s="109"/>
      <x:c r="L157" s="110"/>
      <x:c r="M157" s="109" t="str">
        <x:f>IF(OR(K157="",L157=""),"",K157*L157)</x:f>
      </x:c>
      <x:c r="N157" s="108" t="str">
        <x:f>IF(I157="","Single",IF(LEFT(I157,2)="2x","Double","Single"))</x:f>
        <x:v>Single</x:v>
      </x:c>
      <x:c r="O157" s="109" t="n">
        <x:f>IF(N157="","",IF(N157="Double",Summary!$B$37,Summary!$B$36))</x:f>
        <x:v>5</x:v>
      </x:c>
      <x:c r="P157" s="109" t="str">
        <x:f>IF(K157="","",K157+O157)</x:f>
      </x:c>
      <x:c r="Q157" s="111" t="str">
        <x:f>IF(P157="","",P157*Summary!$B$35)</x:f>
      </x:c>
      <x:c r="R157" s="112" t="n">
        <x:f>IF(N157="","",IF(N157="Double",Summary!$B$39,Summary!$B$38))</x:f>
        <x:v>1.6</x:v>
      </x:c>
      <x:c r="S157" s="113" t="str">
        <x:f>IF(Q157="","",Q157*R157)</x:f>
      </x:c>
    </x:row>
    <x:row r="158">
      <x:c r="A158" s="107"/>
      <x:c r="B158" s="108"/>
      <x:c r="C158" s="108"/>
      <x:c r="D158" s="108"/>
      <x:c r="E158" s="108"/>
      <x:c r="F158" s="108"/>
      <x:c r="G158" s="108"/>
      <x:c r="H158" s="108"/>
      <x:c r="I158" s="108"/>
      <x:c r="J158" s="108"/>
      <x:c r="K158" s="109"/>
      <x:c r="L158" s="110"/>
      <x:c r="M158" s="109" t="str">
        <x:f>IF(OR(K158="",L158=""),"",K158*L158)</x:f>
      </x:c>
      <x:c r="N158" s="108" t="str">
        <x:f>IF(I158="","Single",IF(LEFT(I158,2)="2x","Double","Single"))</x:f>
        <x:v>Single</x:v>
      </x:c>
      <x:c r="O158" s="109" t="n">
        <x:f>IF(N158="","",IF(N158="Double",Summary!$B$37,Summary!$B$36))</x:f>
        <x:v>5</x:v>
      </x:c>
      <x:c r="P158" s="109" t="str">
        <x:f>IF(K158="","",K158+O158)</x:f>
      </x:c>
      <x:c r="Q158" s="111" t="str">
        <x:f>IF(P158="","",P158*Summary!$B$35)</x:f>
      </x:c>
      <x:c r="R158" s="112" t="n">
        <x:f>IF(N158="","",IF(N158="Double",Summary!$B$39,Summary!$B$38))</x:f>
        <x:v>1.6</x:v>
      </x:c>
      <x:c r="S158" s="113" t="str">
        <x:f>IF(Q158="","",Q158*R158)</x:f>
      </x:c>
    </x:row>
    <x:row r="159">
      <x:c r="A159" s="107"/>
      <x:c r="B159" s="108"/>
      <x:c r="C159" s="108"/>
      <x:c r="D159" s="108"/>
      <x:c r="E159" s="108"/>
      <x:c r="F159" s="108"/>
      <x:c r="G159" s="108"/>
      <x:c r="H159" s="108"/>
      <x:c r="I159" s="108"/>
      <x:c r="J159" s="108"/>
      <x:c r="K159" s="109"/>
      <x:c r="L159" s="110"/>
      <x:c r="M159" s="109" t="str">
        <x:f>IF(OR(K159="",L159=""),"",K159*L159)</x:f>
      </x:c>
      <x:c r="N159" s="108" t="str">
        <x:f>IF(I159="","Single",IF(LEFT(I159,2)="2x","Double","Single"))</x:f>
        <x:v>Single</x:v>
      </x:c>
      <x:c r="O159" s="109" t="n">
        <x:f>IF(N159="","",IF(N159="Double",Summary!$B$37,Summary!$B$36))</x:f>
        <x:v>5</x:v>
      </x:c>
      <x:c r="P159" s="109" t="str">
        <x:f>IF(K159="","",K159+O159)</x:f>
      </x:c>
      <x:c r="Q159" s="111" t="str">
        <x:f>IF(P159="","",P159*Summary!$B$35)</x:f>
      </x:c>
      <x:c r="R159" s="112" t="n">
        <x:f>IF(N159="","",IF(N159="Double",Summary!$B$39,Summary!$B$38))</x:f>
        <x:v>1.6</x:v>
      </x:c>
      <x:c r="S159" s="113" t="str">
        <x:f>IF(Q159="","",Q159*R159)</x:f>
      </x:c>
    </x:row>
    <x:row r="160">
      <x:c r="A160" s="107"/>
      <x:c r="B160" s="108"/>
      <x:c r="C160" s="108"/>
      <x:c r="D160" s="108"/>
      <x:c r="E160" s="108"/>
      <x:c r="F160" s="108"/>
      <x:c r="G160" s="108"/>
      <x:c r="H160" s="108"/>
      <x:c r="I160" s="108"/>
      <x:c r="J160" s="108"/>
      <x:c r="K160" s="109"/>
      <x:c r="L160" s="110"/>
      <x:c r="M160" s="109" t="str">
        <x:f>IF(OR(K160="",L160=""),"",K160*L160)</x:f>
      </x:c>
      <x:c r="N160" s="108" t="str">
        <x:f>IF(I160="","Single",IF(LEFT(I160,2)="2x","Double","Single"))</x:f>
        <x:v>Single</x:v>
      </x:c>
      <x:c r="O160" s="109" t="n">
        <x:f>IF(N160="","",IF(N160="Double",Summary!$B$37,Summary!$B$36))</x:f>
        <x:v>5</x:v>
      </x:c>
      <x:c r="P160" s="109" t="str">
        <x:f>IF(K160="","",K160+O160)</x:f>
      </x:c>
      <x:c r="Q160" s="111" t="str">
        <x:f>IF(P160="","",P160*Summary!$B$35)</x:f>
      </x:c>
      <x:c r="R160" s="112" t="n">
        <x:f>IF(N160="","",IF(N160="Double",Summary!$B$39,Summary!$B$38))</x:f>
        <x:v>1.6</x:v>
      </x:c>
      <x:c r="S160" s="113" t="str">
        <x:f>IF(Q160="","",Q160*R160)</x:f>
      </x:c>
    </x:row>
    <x:row r="161">
      <x:c r="A161" s="107"/>
      <x:c r="B161" s="108"/>
      <x:c r="C161" s="108"/>
      <x:c r="D161" s="108"/>
      <x:c r="E161" s="108"/>
      <x:c r="F161" s="108"/>
      <x:c r="G161" s="108"/>
      <x:c r="H161" s="108"/>
      <x:c r="I161" s="108"/>
      <x:c r="J161" s="108"/>
      <x:c r="K161" s="109"/>
      <x:c r="L161" s="110"/>
      <x:c r="M161" s="109" t="str">
        <x:f>IF(OR(K161="",L161=""),"",K161*L161)</x:f>
      </x:c>
      <x:c r="N161" s="108" t="str">
        <x:f>IF(I161="","Single",IF(LEFT(I161,2)="2x","Double","Single"))</x:f>
        <x:v>Single</x:v>
      </x:c>
      <x:c r="O161" s="109" t="n">
        <x:f>IF(N161="","",IF(N161="Double",Summary!$B$37,Summary!$B$36))</x:f>
        <x:v>5</x:v>
      </x:c>
      <x:c r="P161" s="109" t="str">
        <x:f>IF(K161="","",K161+O161)</x:f>
      </x:c>
      <x:c r="Q161" s="111" t="str">
        <x:f>IF(P161="","",P161*Summary!$B$35)</x:f>
      </x:c>
      <x:c r="R161" s="112" t="n">
        <x:f>IF(N161="","",IF(N161="Double",Summary!$B$39,Summary!$B$38))</x:f>
        <x:v>1.6</x:v>
      </x:c>
      <x:c r="S161" s="113" t="str">
        <x:f>IF(Q161="","",Q161*R161)</x:f>
      </x:c>
    </x:row>
    <x:row r="162">
      <x:c r="A162" s="107"/>
      <x:c r="B162" s="108"/>
      <x:c r="C162" s="108"/>
      <x:c r="D162" s="108"/>
      <x:c r="E162" s="108"/>
      <x:c r="F162" s="108"/>
      <x:c r="G162" s="108"/>
      <x:c r="H162" s="108"/>
      <x:c r="I162" s="108"/>
      <x:c r="J162" s="108"/>
      <x:c r="K162" s="109"/>
      <x:c r="L162" s="110"/>
      <x:c r="M162" s="109" t="str">
        <x:f>IF(OR(K162="",L162=""),"",K162*L162)</x:f>
      </x:c>
      <x:c r="N162" s="108" t="str">
        <x:f>IF(I162="","Single",IF(LEFT(I162,2)="2x","Double","Single"))</x:f>
        <x:v>Single</x:v>
      </x:c>
      <x:c r="O162" s="109" t="n">
        <x:f>IF(N162="","",IF(N162="Double",Summary!$B$37,Summary!$B$36))</x:f>
        <x:v>5</x:v>
      </x:c>
      <x:c r="P162" s="109" t="str">
        <x:f>IF(K162="","",K162+O162)</x:f>
      </x:c>
      <x:c r="Q162" s="111" t="str">
        <x:f>IF(P162="","",P162*Summary!$B$35)</x:f>
      </x:c>
      <x:c r="R162" s="112" t="n">
        <x:f>IF(N162="","",IF(N162="Double",Summary!$B$39,Summary!$B$38))</x:f>
        <x:v>1.6</x:v>
      </x:c>
      <x:c r="S162" s="113" t="str">
        <x:f>IF(Q162="","",Q162*R162)</x:f>
      </x:c>
    </x:row>
    <x:row r="163">
      <x:c r="A163" s="107"/>
      <x:c r="B163" s="108"/>
      <x:c r="C163" s="108"/>
      <x:c r="D163" s="108"/>
      <x:c r="E163" s="108"/>
      <x:c r="F163" s="108"/>
      <x:c r="G163" s="108"/>
      <x:c r="H163" s="108"/>
      <x:c r="I163" s="108"/>
      <x:c r="J163" s="108"/>
      <x:c r="K163" s="109"/>
      <x:c r="L163" s="110"/>
      <x:c r="M163" s="109" t="str">
        <x:f>IF(OR(K163="",L163=""),"",K163*L163)</x:f>
      </x:c>
      <x:c r="N163" s="108" t="str">
        <x:f>IF(I163="","Single",IF(LEFT(I163,2)="2x","Double","Single"))</x:f>
        <x:v>Single</x:v>
      </x:c>
      <x:c r="O163" s="109" t="n">
        <x:f>IF(N163="","",IF(N163="Double",Summary!$B$37,Summary!$B$36))</x:f>
        <x:v>5</x:v>
      </x:c>
      <x:c r="P163" s="109" t="str">
        <x:f>IF(K163="","",K163+O163)</x:f>
      </x:c>
      <x:c r="Q163" s="111" t="str">
        <x:f>IF(P163="","",P163*Summary!$B$35)</x:f>
      </x:c>
      <x:c r="R163" s="112" t="n">
        <x:f>IF(N163="","",IF(N163="Double",Summary!$B$39,Summary!$B$38))</x:f>
        <x:v>1.6</x:v>
      </x:c>
      <x:c r="S163" s="113" t="str">
        <x:f>IF(Q163="","",Q163*R163)</x:f>
      </x:c>
    </x:row>
    <x:row r="164">
      <x:c r="A164" s="107"/>
      <x:c r="B164" s="108"/>
      <x:c r="C164" s="108"/>
      <x:c r="D164" s="108"/>
      <x:c r="E164" s="108"/>
      <x:c r="F164" s="108"/>
      <x:c r="G164" s="108"/>
      <x:c r="H164" s="108"/>
      <x:c r="I164" s="108"/>
      <x:c r="J164" s="108"/>
      <x:c r="K164" s="109"/>
      <x:c r="L164" s="110"/>
      <x:c r="M164" s="109" t="str">
        <x:f>IF(OR(K164="",L164=""),"",K164*L164)</x:f>
      </x:c>
      <x:c r="N164" s="108" t="str">
        <x:f>IF(I164="","Single",IF(LEFT(I164,2)="2x","Double","Single"))</x:f>
        <x:v>Single</x:v>
      </x:c>
      <x:c r="O164" s="109" t="n">
        <x:f>IF(N164="","",IF(N164="Double",Summary!$B$37,Summary!$B$36))</x:f>
        <x:v>5</x:v>
      </x:c>
      <x:c r="P164" s="109" t="str">
        <x:f>IF(K164="","",K164+O164)</x:f>
      </x:c>
      <x:c r="Q164" s="111" t="str">
        <x:f>IF(P164="","",P164*Summary!$B$35)</x:f>
      </x:c>
      <x:c r="R164" s="112" t="n">
        <x:f>IF(N164="","",IF(N164="Double",Summary!$B$39,Summary!$B$38))</x:f>
        <x:v>1.6</x:v>
      </x:c>
      <x:c r="S164" s="113" t="str">
        <x:f>IF(Q164="","",Q164*R164)</x:f>
      </x:c>
    </x:row>
    <x:row r="165">
      <x:c r="A165" s="107"/>
      <x:c r="B165" s="108"/>
      <x:c r="C165" s="108"/>
      <x:c r="D165" s="108"/>
      <x:c r="E165" s="108"/>
      <x:c r="F165" s="108"/>
      <x:c r="G165" s="108"/>
      <x:c r="H165" s="108"/>
      <x:c r="I165" s="108"/>
      <x:c r="J165" s="108"/>
      <x:c r="K165" s="109"/>
      <x:c r="L165" s="110"/>
      <x:c r="M165" s="109" t="str">
        <x:f>IF(OR(K165="",L165=""),"",K165*L165)</x:f>
      </x:c>
      <x:c r="N165" s="108" t="str">
        <x:f>IF(I165="","Single",IF(LEFT(I165,2)="2x","Double","Single"))</x:f>
        <x:v>Single</x:v>
      </x:c>
      <x:c r="O165" s="109" t="n">
        <x:f>IF(N165="","",IF(N165="Double",Summary!$B$37,Summary!$B$36))</x:f>
        <x:v>5</x:v>
      </x:c>
      <x:c r="P165" s="109" t="str">
        <x:f>IF(K165="","",K165+O165)</x:f>
      </x:c>
      <x:c r="Q165" s="111" t="str">
        <x:f>IF(P165="","",P165*Summary!$B$35)</x:f>
      </x:c>
      <x:c r="R165" s="112" t="n">
        <x:f>IF(N165="","",IF(N165="Double",Summary!$B$39,Summary!$B$38))</x:f>
        <x:v>1.6</x:v>
      </x:c>
      <x:c r="S165" s="113" t="str">
        <x:f>IF(Q165="","",Q165*R165)</x:f>
      </x:c>
    </x:row>
    <x:row r="166">
      <x:c r="A166" s="107"/>
      <x:c r="B166" s="108"/>
      <x:c r="C166" s="108"/>
      <x:c r="D166" s="108"/>
      <x:c r="E166" s="108"/>
      <x:c r="F166" s="108"/>
      <x:c r="G166" s="108"/>
      <x:c r="H166" s="108"/>
      <x:c r="I166" s="108"/>
      <x:c r="J166" s="108"/>
      <x:c r="K166" s="109"/>
      <x:c r="L166" s="110"/>
      <x:c r="M166" s="109" t="str">
        <x:f>IF(OR(K166="",L166=""),"",K166*L166)</x:f>
      </x:c>
      <x:c r="N166" s="108" t="str">
        <x:f>IF(I166="","Single",IF(LEFT(I166,2)="2x","Double","Single"))</x:f>
        <x:v>Single</x:v>
      </x:c>
      <x:c r="O166" s="109" t="n">
        <x:f>IF(N166="","",IF(N166="Double",Summary!$B$37,Summary!$B$36))</x:f>
        <x:v>5</x:v>
      </x:c>
      <x:c r="P166" s="109" t="str">
        <x:f>IF(K166="","",K166+O166)</x:f>
      </x:c>
      <x:c r="Q166" s="111" t="str">
        <x:f>IF(P166="","",P166*Summary!$B$35)</x:f>
      </x:c>
      <x:c r="R166" s="112" t="n">
        <x:f>IF(N166="","",IF(N166="Double",Summary!$B$39,Summary!$B$38))</x:f>
        <x:v>1.6</x:v>
      </x:c>
      <x:c r="S166" s="113" t="str">
        <x:f>IF(Q166="","",Q166*R166)</x:f>
      </x:c>
    </x:row>
    <x:row r="167">
      <x:c r="A167" s="107"/>
      <x:c r="B167" s="108"/>
      <x:c r="C167" s="108"/>
      <x:c r="D167" s="108"/>
      <x:c r="E167" s="108"/>
      <x:c r="F167" s="108"/>
      <x:c r="G167" s="108"/>
      <x:c r="H167" s="108"/>
      <x:c r="I167" s="108"/>
      <x:c r="J167" s="108"/>
      <x:c r="K167" s="109"/>
      <x:c r="L167" s="110"/>
      <x:c r="M167" s="109" t="str">
        <x:f>IF(OR(K167="",L167=""),"",K167*L167)</x:f>
      </x:c>
      <x:c r="N167" s="108" t="str">
        <x:f>IF(I167="","Single",IF(LEFT(I167,2)="2x","Double","Single"))</x:f>
        <x:v>Single</x:v>
      </x:c>
      <x:c r="O167" s="109" t="n">
        <x:f>IF(N167="","",IF(N167="Double",Summary!$B$37,Summary!$B$36))</x:f>
        <x:v>5</x:v>
      </x:c>
      <x:c r="P167" s="109" t="str">
        <x:f>IF(K167="","",K167+O167)</x:f>
      </x:c>
      <x:c r="Q167" s="111" t="str">
        <x:f>IF(P167="","",P167*Summary!$B$35)</x:f>
      </x:c>
      <x:c r="R167" s="112" t="n">
        <x:f>IF(N167="","",IF(N167="Double",Summary!$B$39,Summary!$B$38))</x:f>
        <x:v>1.6</x:v>
      </x:c>
      <x:c r="S167" s="113" t="str">
        <x:f>IF(Q167="","",Q167*R167)</x:f>
      </x:c>
    </x:row>
    <x:row r="168">
      <x:c r="A168" s="107"/>
      <x:c r="B168" s="108"/>
      <x:c r="C168" s="108"/>
      <x:c r="D168" s="108"/>
      <x:c r="E168" s="108"/>
      <x:c r="F168" s="108"/>
      <x:c r="G168" s="108"/>
      <x:c r="H168" s="108"/>
      <x:c r="I168" s="108"/>
      <x:c r="J168" s="108"/>
      <x:c r="K168" s="109"/>
      <x:c r="L168" s="110"/>
      <x:c r="M168" s="109" t="str">
        <x:f>IF(OR(K168="",L168=""),"",K168*L168)</x:f>
      </x:c>
      <x:c r="N168" s="108" t="str">
        <x:f>IF(I168="","Single",IF(LEFT(I168,2)="2x","Double","Single"))</x:f>
        <x:v>Single</x:v>
      </x:c>
      <x:c r="O168" s="109" t="n">
        <x:f>IF(N168="","",IF(N168="Double",Summary!$B$37,Summary!$B$36))</x:f>
        <x:v>5</x:v>
      </x:c>
      <x:c r="P168" s="109" t="str">
        <x:f>IF(K168="","",K168+O168)</x:f>
      </x:c>
      <x:c r="Q168" s="111" t="str">
        <x:f>IF(P168="","",P168*Summary!$B$35)</x:f>
      </x:c>
      <x:c r="R168" s="112" t="n">
        <x:f>IF(N168="","",IF(N168="Double",Summary!$B$39,Summary!$B$38))</x:f>
        <x:v>1.6</x:v>
      </x:c>
      <x:c r="S168" s="113" t="str">
        <x:f>IF(Q168="","",Q168*R168)</x:f>
      </x:c>
    </x:row>
    <x:row r="169">
      <x:c r="A169" s="107"/>
      <x:c r="B169" s="108"/>
      <x:c r="C169" s="108"/>
      <x:c r="D169" s="108"/>
      <x:c r="E169" s="108"/>
      <x:c r="F169" s="108"/>
      <x:c r="G169" s="108"/>
      <x:c r="H169" s="108"/>
      <x:c r="I169" s="108"/>
      <x:c r="J169" s="108"/>
      <x:c r="K169" s="109"/>
      <x:c r="L169" s="110"/>
      <x:c r="M169" s="109" t="str">
        <x:f>IF(OR(K169="",L169=""),"",K169*L169)</x:f>
      </x:c>
      <x:c r="N169" s="108" t="str">
        <x:f>IF(I169="","Single",IF(LEFT(I169,2)="2x","Double","Single"))</x:f>
        <x:v>Single</x:v>
      </x:c>
      <x:c r="O169" s="109" t="n">
        <x:f>IF(N169="","",IF(N169="Double",Summary!$B$37,Summary!$B$36))</x:f>
        <x:v>5</x:v>
      </x:c>
      <x:c r="P169" s="109" t="str">
        <x:f>IF(K169="","",K169+O169)</x:f>
      </x:c>
      <x:c r="Q169" s="111" t="str">
        <x:f>IF(P169="","",P169*Summary!$B$35)</x:f>
      </x:c>
      <x:c r="R169" s="112" t="n">
        <x:f>IF(N169="","",IF(N169="Double",Summary!$B$39,Summary!$B$38))</x:f>
        <x:v>1.6</x:v>
      </x:c>
      <x:c r="S169" s="113" t="str">
        <x:f>IF(Q169="","",Q169*R169)</x:f>
      </x:c>
    </x:row>
    <x:row r="170">
      <x:c r="A170" s="107"/>
      <x:c r="B170" s="108"/>
      <x:c r="C170" s="108"/>
      <x:c r="D170" s="108"/>
      <x:c r="E170" s="108"/>
      <x:c r="F170" s="108"/>
      <x:c r="G170" s="108"/>
      <x:c r="H170" s="108"/>
      <x:c r="I170" s="108"/>
      <x:c r="J170" s="108"/>
      <x:c r="K170" s="109"/>
      <x:c r="L170" s="110"/>
      <x:c r="M170" s="109" t="str">
        <x:f>IF(OR(K170="",L170=""),"",K170*L170)</x:f>
      </x:c>
      <x:c r="N170" s="108" t="str">
        <x:f>IF(I170="","Single",IF(LEFT(I170,2)="2x","Double","Single"))</x:f>
        <x:v>Single</x:v>
      </x:c>
      <x:c r="O170" s="109" t="n">
        <x:f>IF(N170="","",IF(N170="Double",Summary!$B$37,Summary!$B$36))</x:f>
        <x:v>5</x:v>
      </x:c>
      <x:c r="P170" s="109" t="str">
        <x:f>IF(K170="","",K170+O170)</x:f>
      </x:c>
      <x:c r="Q170" s="111" t="str">
        <x:f>IF(P170="","",P170*Summary!$B$35)</x:f>
      </x:c>
      <x:c r="R170" s="112" t="n">
        <x:f>IF(N170="","",IF(N170="Double",Summary!$B$39,Summary!$B$38))</x:f>
        <x:v>1.6</x:v>
      </x:c>
      <x:c r="S170" s="113" t="str">
        <x:f>IF(Q170="","",Q170*R170)</x:f>
      </x:c>
    </x:row>
    <x:row r="171">
      <x:c r="A171" s="107"/>
      <x:c r="B171" s="108"/>
      <x:c r="C171" s="108"/>
      <x:c r="D171" s="108"/>
      <x:c r="E171" s="108"/>
      <x:c r="F171" s="108"/>
      <x:c r="G171" s="108"/>
      <x:c r="H171" s="108"/>
      <x:c r="I171" s="108"/>
      <x:c r="J171" s="108"/>
      <x:c r="K171" s="109"/>
      <x:c r="L171" s="110"/>
      <x:c r="M171" s="109" t="str">
        <x:f>IF(OR(K171="",L171=""),"",K171*L171)</x:f>
      </x:c>
      <x:c r="N171" s="108" t="str">
        <x:f>IF(I171="","Single",IF(LEFT(I171,2)="2x","Double","Single"))</x:f>
        <x:v>Single</x:v>
      </x:c>
      <x:c r="O171" s="109" t="n">
        <x:f>IF(N171="","",IF(N171="Double",Summary!$B$37,Summary!$B$36))</x:f>
        <x:v>5</x:v>
      </x:c>
      <x:c r="P171" s="109" t="str">
        <x:f>IF(K171="","",K171+O171)</x:f>
      </x:c>
      <x:c r="Q171" s="111" t="str">
        <x:f>IF(P171="","",P171*Summary!$B$35)</x:f>
      </x:c>
      <x:c r="R171" s="112" t="n">
        <x:f>IF(N171="","",IF(N171="Double",Summary!$B$39,Summary!$B$38))</x:f>
        <x:v>1.6</x:v>
      </x:c>
      <x:c r="S171" s="113" t="str">
        <x:f>IF(Q171="","",Q171*R171)</x:f>
      </x:c>
    </x:row>
    <x:row r="172">
      <x:c r="A172" s="107"/>
      <x:c r="B172" s="108"/>
      <x:c r="C172" s="108"/>
      <x:c r="D172" s="108"/>
      <x:c r="E172" s="108"/>
      <x:c r="F172" s="108"/>
      <x:c r="G172" s="108"/>
      <x:c r="H172" s="108"/>
      <x:c r="I172" s="108"/>
      <x:c r="J172" s="108"/>
      <x:c r="K172" s="109"/>
      <x:c r="L172" s="110"/>
      <x:c r="M172" s="109" t="str">
        <x:f>IF(OR(K172="",L172=""),"",K172*L172)</x:f>
      </x:c>
      <x:c r="N172" s="108" t="str">
        <x:f>IF(I172="","Single",IF(LEFT(I172,2)="2x","Double","Single"))</x:f>
        <x:v>Single</x:v>
      </x:c>
      <x:c r="O172" s="109" t="n">
        <x:f>IF(N172="","",IF(N172="Double",Summary!$B$37,Summary!$B$36))</x:f>
        <x:v>5</x:v>
      </x:c>
      <x:c r="P172" s="109" t="str">
        <x:f>IF(K172="","",K172+O172)</x:f>
      </x:c>
      <x:c r="Q172" s="111" t="str">
        <x:f>IF(P172="","",P172*Summary!$B$35)</x:f>
      </x:c>
      <x:c r="R172" s="112" t="n">
        <x:f>IF(N172="","",IF(N172="Double",Summary!$B$39,Summary!$B$38))</x:f>
        <x:v>1.6</x:v>
      </x:c>
      <x:c r="S172" s="113" t="str">
        <x:f>IF(Q172="","",Q172*R172)</x:f>
      </x:c>
    </x:row>
    <x:row r="173">
      <x:c r="A173" s="107"/>
      <x:c r="B173" s="108"/>
      <x:c r="C173" s="108"/>
      <x:c r="D173" s="108"/>
      <x:c r="E173" s="108"/>
      <x:c r="F173" s="108"/>
      <x:c r="G173" s="108"/>
      <x:c r="H173" s="108"/>
      <x:c r="I173" s="108"/>
      <x:c r="J173" s="108"/>
      <x:c r="K173" s="109"/>
      <x:c r="L173" s="110"/>
      <x:c r="M173" s="109" t="str">
        <x:f>IF(OR(K173="",L173=""),"",K173*L173)</x:f>
      </x:c>
      <x:c r="N173" s="108" t="str">
        <x:f>IF(I173="","Single",IF(LEFT(I173,2)="2x","Double","Single"))</x:f>
        <x:v>Single</x:v>
      </x:c>
      <x:c r="O173" s="109" t="n">
        <x:f>IF(N173="","",IF(N173="Double",Summary!$B$37,Summary!$B$36))</x:f>
        <x:v>5</x:v>
      </x:c>
      <x:c r="P173" s="109" t="str">
        <x:f>IF(K173="","",K173+O173)</x:f>
      </x:c>
      <x:c r="Q173" s="111" t="str">
        <x:f>IF(P173="","",P173*Summary!$B$35)</x:f>
      </x:c>
      <x:c r="R173" s="112" t="n">
        <x:f>IF(N173="","",IF(N173="Double",Summary!$B$39,Summary!$B$38))</x:f>
        <x:v>1.6</x:v>
      </x:c>
      <x:c r="S173" s="113" t="str">
        <x:f>IF(Q173="","",Q173*R173)</x:f>
      </x:c>
    </x:row>
    <x:row r="174">
      <x:c r="A174" s="107"/>
      <x:c r="B174" s="108"/>
      <x:c r="C174" s="108"/>
      <x:c r="D174" s="108"/>
      <x:c r="E174" s="108"/>
      <x:c r="F174" s="108"/>
      <x:c r="G174" s="108"/>
      <x:c r="H174" s="108"/>
      <x:c r="I174" s="108"/>
      <x:c r="J174" s="108"/>
      <x:c r="K174" s="109"/>
      <x:c r="L174" s="110"/>
      <x:c r="M174" s="109" t="str">
        <x:f>IF(OR(K174="",L174=""),"",K174*L174)</x:f>
      </x:c>
      <x:c r="N174" s="108" t="str">
        <x:f>IF(I174="","Single",IF(LEFT(I174,2)="2x","Double","Single"))</x:f>
        <x:v>Single</x:v>
      </x:c>
      <x:c r="O174" s="109" t="n">
        <x:f>IF(N174="","",IF(N174="Double",Summary!$B$37,Summary!$B$36))</x:f>
        <x:v>5</x:v>
      </x:c>
      <x:c r="P174" s="109" t="str">
        <x:f>IF(K174="","",K174+O174)</x:f>
      </x:c>
      <x:c r="Q174" s="111" t="str">
        <x:f>IF(P174="","",P174*Summary!$B$35)</x:f>
      </x:c>
      <x:c r="R174" s="112" t="n">
        <x:f>IF(N174="","",IF(N174="Double",Summary!$B$39,Summary!$B$38))</x:f>
        <x:v>1.6</x:v>
      </x:c>
      <x:c r="S174" s="113" t="str">
        <x:f>IF(Q174="","",Q174*R174)</x:f>
      </x:c>
    </x:row>
    <x:row r="175">
      <x:c r="A175" s="107"/>
      <x:c r="B175" s="108"/>
      <x:c r="C175" s="108"/>
      <x:c r="D175" s="108"/>
      <x:c r="E175" s="108"/>
      <x:c r="F175" s="108"/>
      <x:c r="G175" s="108"/>
      <x:c r="H175" s="108"/>
      <x:c r="I175" s="108"/>
      <x:c r="J175" s="108"/>
      <x:c r="K175" s="109"/>
      <x:c r="L175" s="110"/>
      <x:c r="M175" s="109" t="str">
        <x:f>IF(OR(K175="",L175=""),"",K175*L175)</x:f>
      </x:c>
      <x:c r="N175" s="108" t="str">
        <x:f>IF(I175="","Single",IF(LEFT(I175,2)="2x","Double","Single"))</x:f>
        <x:v>Single</x:v>
      </x:c>
      <x:c r="O175" s="109" t="n">
        <x:f>IF(N175="","",IF(N175="Double",Summary!$B$37,Summary!$B$36))</x:f>
        <x:v>5</x:v>
      </x:c>
      <x:c r="P175" s="109" t="str">
        <x:f>IF(K175="","",K175+O175)</x:f>
      </x:c>
      <x:c r="Q175" s="111" t="str">
        <x:f>IF(P175="","",P175*Summary!$B$35)</x:f>
      </x:c>
      <x:c r="R175" s="112" t="n">
        <x:f>IF(N175="","",IF(N175="Double",Summary!$B$39,Summary!$B$38))</x:f>
        <x:v>1.6</x:v>
      </x:c>
      <x:c r="S175" s="113" t="str">
        <x:f>IF(Q175="","",Q175*R175)</x:f>
      </x:c>
    </x:row>
    <x:row r="176">
      <x:c r="A176" s="107"/>
      <x:c r="B176" s="108"/>
      <x:c r="C176" s="108"/>
      <x:c r="D176" s="108"/>
      <x:c r="E176" s="108"/>
      <x:c r="F176" s="108"/>
      <x:c r="G176" s="108"/>
      <x:c r="H176" s="108"/>
      <x:c r="I176" s="108"/>
      <x:c r="J176" s="108"/>
      <x:c r="K176" s="109"/>
      <x:c r="L176" s="110"/>
      <x:c r="M176" s="109" t="str">
        <x:f>IF(OR(K176="",L176=""),"",K176*L176)</x:f>
      </x:c>
      <x:c r="N176" s="108" t="str">
        <x:f>IF(I176="","Single",IF(LEFT(I176,2)="2x","Double","Single"))</x:f>
        <x:v>Single</x:v>
      </x:c>
      <x:c r="O176" s="109" t="n">
        <x:f>IF(N176="","",IF(N176="Double",Summary!$B$37,Summary!$B$36))</x:f>
        <x:v>5</x:v>
      </x:c>
      <x:c r="P176" s="109" t="str">
        <x:f>IF(K176="","",K176+O176)</x:f>
      </x:c>
      <x:c r="Q176" s="111" t="str">
        <x:f>IF(P176="","",P176*Summary!$B$35)</x:f>
      </x:c>
      <x:c r="R176" s="112" t="n">
        <x:f>IF(N176="","",IF(N176="Double",Summary!$B$39,Summary!$B$38))</x:f>
        <x:v>1.6</x:v>
      </x:c>
      <x:c r="S176" s="113" t="str">
        <x:f>IF(Q176="","",Q176*R176)</x:f>
      </x:c>
    </x:row>
    <x:row r="177">
      <x:c r="A177" s="107"/>
      <x:c r="B177" s="108"/>
      <x:c r="C177" s="108"/>
      <x:c r="D177" s="108"/>
      <x:c r="E177" s="108"/>
      <x:c r="F177" s="108"/>
      <x:c r="G177" s="108"/>
      <x:c r="H177" s="108"/>
      <x:c r="I177" s="108"/>
      <x:c r="J177" s="108"/>
      <x:c r="K177" s="109"/>
      <x:c r="L177" s="110"/>
      <x:c r="M177" s="109" t="str">
        <x:f>IF(OR(K177="",L177=""),"",K177*L177)</x:f>
      </x:c>
      <x:c r="N177" s="108" t="str">
        <x:f>IF(I177="","Single",IF(LEFT(I177,2)="2x","Double","Single"))</x:f>
        <x:v>Single</x:v>
      </x:c>
      <x:c r="O177" s="109" t="n">
        <x:f>IF(N177="","",IF(N177="Double",Summary!$B$37,Summary!$B$36))</x:f>
        <x:v>5</x:v>
      </x:c>
      <x:c r="P177" s="109" t="str">
        <x:f>IF(K177="","",K177+O177)</x:f>
      </x:c>
      <x:c r="Q177" s="111" t="str">
        <x:f>IF(P177="","",P177*Summary!$B$35)</x:f>
      </x:c>
      <x:c r="R177" s="112" t="n">
        <x:f>IF(N177="","",IF(N177="Double",Summary!$B$39,Summary!$B$38))</x:f>
        <x:v>1.6</x:v>
      </x:c>
      <x:c r="S177" s="113" t="str">
        <x:f>IF(Q177="","",Q177*R177)</x:f>
      </x:c>
    </x:row>
    <x:row r="178">
      <x:c r="A178" s="107"/>
      <x:c r="B178" s="108"/>
      <x:c r="C178" s="108"/>
      <x:c r="D178" s="108"/>
      <x:c r="E178" s="108"/>
      <x:c r="F178" s="108"/>
      <x:c r="G178" s="108"/>
      <x:c r="H178" s="108"/>
      <x:c r="I178" s="108"/>
      <x:c r="J178" s="108"/>
      <x:c r="K178" s="109"/>
      <x:c r="L178" s="110"/>
      <x:c r="M178" s="109" t="str">
        <x:f>IF(OR(K178="",L178=""),"",K178*L178)</x:f>
      </x:c>
      <x:c r="N178" s="108" t="str">
        <x:f>IF(I178="","Single",IF(LEFT(I178,2)="2x","Double","Single"))</x:f>
        <x:v>Single</x:v>
      </x:c>
      <x:c r="O178" s="109" t="n">
        <x:f>IF(N178="","",IF(N178="Double",Summary!$B$37,Summary!$B$36))</x:f>
        <x:v>5</x:v>
      </x:c>
      <x:c r="P178" s="109" t="str">
        <x:f>IF(K178="","",K178+O178)</x:f>
      </x:c>
      <x:c r="Q178" s="111" t="str">
        <x:f>IF(P178="","",P178*Summary!$B$35)</x:f>
      </x:c>
      <x:c r="R178" s="112" t="n">
        <x:f>IF(N178="","",IF(N178="Double",Summary!$B$39,Summary!$B$38))</x:f>
        <x:v>1.6</x:v>
      </x:c>
      <x:c r="S178" s="113" t="str">
        <x:f>IF(Q178="","",Q178*R178)</x:f>
      </x:c>
    </x:row>
    <x:row r="179">
      <x:c r="A179" s="107"/>
      <x:c r="B179" s="108"/>
      <x:c r="C179" s="108"/>
      <x:c r="D179" s="108"/>
      <x:c r="E179" s="108"/>
      <x:c r="F179" s="108"/>
      <x:c r="G179" s="108"/>
      <x:c r="H179" s="108"/>
      <x:c r="I179" s="108"/>
      <x:c r="J179" s="108"/>
      <x:c r="K179" s="109"/>
      <x:c r="L179" s="110"/>
      <x:c r="M179" s="109" t="str">
        <x:f>IF(OR(K179="",L179=""),"",K179*L179)</x:f>
      </x:c>
      <x:c r="N179" s="108" t="str">
        <x:f>IF(I179="","Single",IF(LEFT(I179,2)="2x","Double","Single"))</x:f>
        <x:v>Single</x:v>
      </x:c>
      <x:c r="O179" s="109" t="n">
        <x:f>IF(N179="","",IF(N179="Double",Summary!$B$37,Summary!$B$36))</x:f>
        <x:v>5</x:v>
      </x:c>
      <x:c r="P179" s="109" t="str">
        <x:f>IF(K179="","",K179+O179)</x:f>
      </x:c>
      <x:c r="Q179" s="111" t="str">
        <x:f>IF(P179="","",P179*Summary!$B$35)</x:f>
      </x:c>
      <x:c r="R179" s="112" t="n">
        <x:f>IF(N179="","",IF(N179="Double",Summary!$B$39,Summary!$B$38))</x:f>
        <x:v>1.6</x:v>
      </x:c>
      <x:c r="S179" s="113" t="str">
        <x:f>IF(Q179="","",Q179*R179)</x:f>
      </x:c>
    </x:row>
    <x:row r="180">
      <x:c r="A180" s="107"/>
      <x:c r="B180" s="108"/>
      <x:c r="C180" s="108"/>
      <x:c r="D180" s="108"/>
      <x:c r="E180" s="108"/>
      <x:c r="F180" s="108"/>
      <x:c r="G180" s="108"/>
      <x:c r="H180" s="108"/>
      <x:c r="I180" s="108"/>
      <x:c r="J180" s="108"/>
      <x:c r="K180" s="109"/>
      <x:c r="L180" s="110"/>
      <x:c r="M180" s="109" t="str">
        <x:f>IF(OR(K180="",L180=""),"",K180*L180)</x:f>
      </x:c>
      <x:c r="N180" s="108" t="str">
        <x:f>IF(I180="","Single",IF(LEFT(I180,2)="2x","Double","Single"))</x:f>
        <x:v>Single</x:v>
      </x:c>
      <x:c r="O180" s="109" t="n">
        <x:f>IF(N180="","",IF(N180="Double",Summary!$B$37,Summary!$B$36))</x:f>
        <x:v>5</x:v>
      </x:c>
      <x:c r="P180" s="109" t="str">
        <x:f>IF(K180="","",K180+O180)</x:f>
      </x:c>
      <x:c r="Q180" s="111" t="str">
        <x:f>IF(P180="","",P180*Summary!$B$35)</x:f>
      </x:c>
      <x:c r="R180" s="112" t="n">
        <x:f>IF(N180="","",IF(N180="Double",Summary!$B$39,Summary!$B$38))</x:f>
        <x:v>1.6</x:v>
      </x:c>
      <x:c r="S180" s="113" t="str">
        <x:f>IF(Q180="","",Q180*R180)</x:f>
      </x:c>
    </x:row>
    <x:row r="181">
      <x:c r="A181" s="107"/>
      <x:c r="B181" s="108"/>
      <x:c r="C181" s="108"/>
      <x:c r="D181" s="108"/>
      <x:c r="E181" s="108"/>
      <x:c r="F181" s="108"/>
      <x:c r="G181" s="108"/>
      <x:c r="H181" s="108"/>
      <x:c r="I181" s="108"/>
      <x:c r="J181" s="108"/>
      <x:c r="K181" s="109"/>
      <x:c r="L181" s="110"/>
      <x:c r="M181" s="109" t="str">
        <x:f>IF(OR(K181="",L181=""),"",K181*L181)</x:f>
      </x:c>
      <x:c r="N181" s="108" t="str">
        <x:f>IF(I181="","Single",IF(LEFT(I181,2)="2x","Double","Single"))</x:f>
        <x:v>Single</x:v>
      </x:c>
      <x:c r="O181" s="109" t="n">
        <x:f>IF(N181="","",IF(N181="Double",Summary!$B$37,Summary!$B$36))</x:f>
        <x:v>5</x:v>
      </x:c>
      <x:c r="P181" s="109" t="str">
        <x:f>IF(K181="","",K181+O181)</x:f>
      </x:c>
      <x:c r="Q181" s="111" t="str">
        <x:f>IF(P181="","",P181*Summary!$B$35)</x:f>
      </x:c>
      <x:c r="R181" s="112" t="n">
        <x:f>IF(N181="","",IF(N181="Double",Summary!$B$39,Summary!$B$38))</x:f>
        <x:v>1.6</x:v>
      </x:c>
      <x:c r="S181" s="113" t="str">
        <x:f>IF(Q181="","",Q181*R181)</x:f>
      </x:c>
    </x:row>
    <x:row r="182">
      <x:c r="A182" s="107"/>
      <x:c r="B182" s="108"/>
      <x:c r="C182" s="108"/>
      <x:c r="D182" s="108"/>
      <x:c r="E182" s="108"/>
      <x:c r="F182" s="108"/>
      <x:c r="G182" s="108"/>
      <x:c r="H182" s="108"/>
      <x:c r="I182" s="108"/>
      <x:c r="J182" s="108"/>
      <x:c r="K182" s="109"/>
      <x:c r="L182" s="110"/>
      <x:c r="M182" s="109" t="str">
        <x:f>IF(OR(K182="",L182=""),"",K182*L182)</x:f>
      </x:c>
      <x:c r="N182" s="108" t="str">
        <x:f>IF(I182="","Single",IF(LEFT(I182,2)="2x","Double","Single"))</x:f>
        <x:v>Single</x:v>
      </x:c>
      <x:c r="O182" s="109" t="n">
        <x:f>IF(N182="","",IF(N182="Double",Summary!$B$37,Summary!$B$36))</x:f>
        <x:v>5</x:v>
      </x:c>
      <x:c r="P182" s="109" t="str">
        <x:f>IF(K182="","",K182+O182)</x:f>
      </x:c>
      <x:c r="Q182" s="111" t="str">
        <x:f>IF(P182="","",P182*Summary!$B$35)</x:f>
      </x:c>
      <x:c r="R182" s="112" t="n">
        <x:f>IF(N182="","",IF(N182="Double",Summary!$B$39,Summary!$B$38))</x:f>
        <x:v>1.6</x:v>
      </x:c>
      <x:c r="S182" s="113" t="str">
        <x:f>IF(Q182="","",Q182*R182)</x:f>
      </x:c>
    </x:row>
    <x:row r="183">
      <x:c r="A183" s="107"/>
      <x:c r="B183" s="108"/>
      <x:c r="C183" s="108"/>
      <x:c r="D183" s="108"/>
      <x:c r="E183" s="108"/>
      <x:c r="F183" s="108"/>
      <x:c r="G183" s="108"/>
      <x:c r="H183" s="108"/>
      <x:c r="I183" s="108"/>
      <x:c r="J183" s="108"/>
      <x:c r="K183" s="109"/>
      <x:c r="L183" s="110"/>
      <x:c r="M183" s="109" t="str">
        <x:f>IF(OR(K183="",L183=""),"",K183*L183)</x:f>
      </x:c>
      <x:c r="N183" s="108" t="str">
        <x:f>IF(I183="","Single",IF(LEFT(I183,2)="2x","Double","Single"))</x:f>
        <x:v>Single</x:v>
      </x:c>
      <x:c r="O183" s="109" t="n">
        <x:f>IF(N183="","",IF(N183="Double",Summary!$B$37,Summary!$B$36))</x:f>
        <x:v>5</x:v>
      </x:c>
      <x:c r="P183" s="109" t="str">
        <x:f>IF(K183="","",K183+O183)</x:f>
      </x:c>
      <x:c r="Q183" s="111" t="str">
        <x:f>IF(P183="","",P183*Summary!$B$35)</x:f>
      </x:c>
      <x:c r="R183" s="112" t="n">
        <x:f>IF(N183="","",IF(N183="Double",Summary!$B$39,Summary!$B$38))</x:f>
        <x:v>1.6</x:v>
      </x:c>
      <x:c r="S183" s="113" t="str">
        <x:f>IF(Q183="","",Q183*R183)</x:f>
      </x:c>
    </x:row>
    <x:row r="184">
      <x:c r="A184" s="107"/>
      <x:c r="B184" s="108"/>
      <x:c r="C184" s="108"/>
      <x:c r="D184" s="108"/>
      <x:c r="E184" s="108"/>
      <x:c r="F184" s="108"/>
      <x:c r="G184" s="108"/>
      <x:c r="H184" s="108"/>
      <x:c r="I184" s="108"/>
      <x:c r="J184" s="108"/>
      <x:c r="K184" s="109"/>
      <x:c r="L184" s="110"/>
      <x:c r="M184" s="109" t="str">
        <x:f>IF(OR(K184="",L184=""),"",K184*L184)</x:f>
      </x:c>
      <x:c r="N184" s="108" t="str">
        <x:f>IF(I184="","Single",IF(LEFT(I184,2)="2x","Double","Single"))</x:f>
        <x:v>Single</x:v>
      </x:c>
      <x:c r="O184" s="109" t="n">
        <x:f>IF(N184="","",IF(N184="Double",Summary!$B$37,Summary!$B$36))</x:f>
        <x:v>5</x:v>
      </x:c>
      <x:c r="P184" s="109" t="str">
        <x:f>IF(K184="","",K184+O184)</x:f>
      </x:c>
      <x:c r="Q184" s="111" t="str">
        <x:f>IF(P184="","",P184*Summary!$B$35)</x:f>
      </x:c>
      <x:c r="R184" s="112" t="n">
        <x:f>IF(N184="","",IF(N184="Double",Summary!$B$39,Summary!$B$38))</x:f>
        <x:v>1.6</x:v>
      </x:c>
      <x:c r="S184" s="113" t="str">
        <x:f>IF(Q184="","",Q184*R184)</x:f>
      </x:c>
    </x:row>
    <x:row r="185">
      <x:c r="A185" s="107"/>
      <x:c r="B185" s="108"/>
      <x:c r="C185" s="108"/>
      <x:c r="D185" s="108"/>
      <x:c r="E185" s="108"/>
      <x:c r="F185" s="108"/>
      <x:c r="G185" s="108"/>
      <x:c r="H185" s="108"/>
      <x:c r="I185" s="108"/>
      <x:c r="J185" s="108"/>
      <x:c r="K185" s="109"/>
      <x:c r="L185" s="110"/>
      <x:c r="M185" s="109" t="str">
        <x:f>IF(OR(K185="",L185=""),"",K185*L185)</x:f>
      </x:c>
      <x:c r="N185" s="108" t="str">
        <x:f>IF(I185="","Single",IF(LEFT(I185,2)="2x","Double","Single"))</x:f>
        <x:v>Single</x:v>
      </x:c>
      <x:c r="O185" s="109" t="n">
        <x:f>IF(N185="","",IF(N185="Double",Summary!$B$37,Summary!$B$36))</x:f>
        <x:v>5</x:v>
      </x:c>
      <x:c r="P185" s="109" t="str">
        <x:f>IF(K185="","",K185+O185)</x:f>
      </x:c>
      <x:c r="Q185" s="111" t="str">
        <x:f>IF(P185="","",P185*Summary!$B$35)</x:f>
      </x:c>
      <x:c r="R185" s="112" t="n">
        <x:f>IF(N185="","",IF(N185="Double",Summary!$B$39,Summary!$B$38))</x:f>
        <x:v>1.6</x:v>
      </x:c>
      <x:c r="S185" s="113" t="str">
        <x:f>IF(Q185="","",Q185*R185)</x:f>
      </x:c>
    </x:row>
    <x:row r="186">
      <x:c r="A186" s="107"/>
      <x:c r="B186" s="108"/>
      <x:c r="C186" s="108"/>
      <x:c r="D186" s="108"/>
      <x:c r="E186" s="108"/>
      <x:c r="F186" s="108"/>
      <x:c r="G186" s="108"/>
      <x:c r="H186" s="108"/>
      <x:c r="I186" s="108"/>
      <x:c r="J186" s="108"/>
      <x:c r="K186" s="109"/>
      <x:c r="L186" s="110"/>
      <x:c r="M186" s="109" t="str">
        <x:f>IF(OR(K186="",L186=""),"",K186*L186)</x:f>
      </x:c>
      <x:c r="N186" s="108" t="str">
        <x:f>IF(I186="","Single",IF(LEFT(I186,2)="2x","Double","Single"))</x:f>
        <x:v>Single</x:v>
      </x:c>
      <x:c r="O186" s="109" t="n">
        <x:f>IF(N186="","",IF(N186="Double",Summary!$B$37,Summary!$B$36))</x:f>
        <x:v>5</x:v>
      </x:c>
      <x:c r="P186" s="109" t="str">
        <x:f>IF(K186="","",K186+O186)</x:f>
      </x:c>
      <x:c r="Q186" s="111" t="str">
        <x:f>IF(P186="","",P186*Summary!$B$35)</x:f>
      </x:c>
      <x:c r="R186" s="112" t="n">
        <x:f>IF(N186="","",IF(N186="Double",Summary!$B$39,Summary!$B$38))</x:f>
        <x:v>1.6</x:v>
      </x:c>
      <x:c r="S186" s="113" t="str">
        <x:f>IF(Q186="","",Q186*R186)</x:f>
      </x:c>
    </x:row>
    <x:row r="187">
      <x:c r="A187" s="107"/>
      <x:c r="B187" s="108"/>
      <x:c r="C187" s="108"/>
      <x:c r="D187" s="108"/>
      <x:c r="E187" s="108"/>
      <x:c r="F187" s="108"/>
      <x:c r="G187" s="108"/>
      <x:c r="H187" s="108"/>
      <x:c r="I187" s="108"/>
      <x:c r="J187" s="108"/>
      <x:c r="K187" s="109"/>
      <x:c r="L187" s="110"/>
      <x:c r="M187" s="109" t="str">
        <x:f>IF(OR(K187="",L187=""),"",K187*L187)</x:f>
      </x:c>
      <x:c r="N187" s="108" t="str">
        <x:f>IF(I187="","Single",IF(LEFT(I187,2)="2x","Double","Single"))</x:f>
        <x:v>Single</x:v>
      </x:c>
      <x:c r="O187" s="109" t="n">
        <x:f>IF(N187="","",IF(N187="Double",Summary!$B$37,Summary!$B$36))</x:f>
        <x:v>5</x:v>
      </x:c>
      <x:c r="P187" s="109" t="str">
        <x:f>IF(K187="","",K187+O187)</x:f>
      </x:c>
      <x:c r="Q187" s="111" t="str">
        <x:f>IF(P187="","",P187*Summary!$B$35)</x:f>
      </x:c>
      <x:c r="R187" s="112" t="n">
        <x:f>IF(N187="","",IF(N187="Double",Summary!$B$39,Summary!$B$38))</x:f>
        <x:v>1.6</x:v>
      </x:c>
      <x:c r="S187" s="113" t="str">
        <x:f>IF(Q187="","",Q187*R187)</x:f>
      </x:c>
    </x:row>
    <x:row r="188">
      <x:c r="A188" s="107"/>
      <x:c r="B188" s="108"/>
      <x:c r="C188" s="108"/>
      <x:c r="D188" s="108"/>
      <x:c r="E188" s="108"/>
      <x:c r="F188" s="108"/>
      <x:c r="G188" s="108"/>
      <x:c r="H188" s="108"/>
      <x:c r="I188" s="108"/>
      <x:c r="J188" s="108"/>
      <x:c r="K188" s="109"/>
      <x:c r="L188" s="110"/>
      <x:c r="M188" s="109" t="str">
        <x:f>IF(OR(K188="",L188=""),"",K188*L188)</x:f>
      </x:c>
      <x:c r="N188" s="108" t="str">
        <x:f>IF(I188="","Single",IF(LEFT(I188,2)="2x","Double","Single"))</x:f>
        <x:v>Single</x:v>
      </x:c>
      <x:c r="O188" s="109" t="n">
        <x:f>IF(N188="","",IF(N188="Double",Summary!$B$37,Summary!$B$36))</x:f>
        <x:v>5</x:v>
      </x:c>
      <x:c r="P188" s="109" t="str">
        <x:f>IF(K188="","",K188+O188)</x:f>
      </x:c>
      <x:c r="Q188" s="111" t="str">
        <x:f>IF(P188="","",P188*Summary!$B$35)</x:f>
      </x:c>
      <x:c r="R188" s="112" t="n">
        <x:f>IF(N188="","",IF(N188="Double",Summary!$B$39,Summary!$B$38))</x:f>
        <x:v>1.6</x:v>
      </x:c>
      <x:c r="S188" s="113" t="str">
        <x:f>IF(Q188="","",Q188*R188)</x:f>
      </x:c>
    </x:row>
    <x:row r="189">
      <x:c r="A189" s="107"/>
      <x:c r="B189" s="108"/>
      <x:c r="C189" s="108"/>
      <x:c r="D189" s="108"/>
      <x:c r="E189" s="108"/>
      <x:c r="F189" s="108"/>
      <x:c r="G189" s="108"/>
      <x:c r="H189" s="108"/>
      <x:c r="I189" s="108"/>
      <x:c r="J189" s="108"/>
      <x:c r="K189" s="109"/>
      <x:c r="L189" s="110"/>
      <x:c r="M189" s="109" t="str">
        <x:f>IF(OR(K189="",L189=""),"",K189*L189)</x:f>
      </x:c>
      <x:c r="N189" s="108" t="str">
        <x:f>IF(I189="","Single",IF(LEFT(I189,2)="2x","Double","Single"))</x:f>
        <x:v>Single</x:v>
      </x:c>
      <x:c r="O189" s="109" t="n">
        <x:f>IF(N189="","",IF(N189="Double",Summary!$B$37,Summary!$B$36))</x:f>
        <x:v>5</x:v>
      </x:c>
      <x:c r="P189" s="109" t="str">
        <x:f>IF(K189="","",K189+O189)</x:f>
      </x:c>
      <x:c r="Q189" s="111" t="str">
        <x:f>IF(P189="","",P189*Summary!$B$35)</x:f>
      </x:c>
      <x:c r="R189" s="112" t="n">
        <x:f>IF(N189="","",IF(N189="Double",Summary!$B$39,Summary!$B$38))</x:f>
        <x:v>1.6</x:v>
      </x:c>
      <x:c r="S189" s="113" t="str">
        <x:f>IF(Q189="","",Q189*R189)</x:f>
      </x:c>
    </x:row>
    <x:row r="190">
      <x:c r="A190" s="107"/>
      <x:c r="B190" s="108"/>
      <x:c r="C190" s="108"/>
      <x:c r="D190" s="108"/>
      <x:c r="E190" s="108"/>
      <x:c r="F190" s="108"/>
      <x:c r="G190" s="108"/>
      <x:c r="H190" s="108"/>
      <x:c r="I190" s="108"/>
      <x:c r="J190" s="108"/>
      <x:c r="K190" s="109"/>
      <x:c r="L190" s="110"/>
      <x:c r="M190" s="109" t="str">
        <x:f>IF(OR(K190="",L190=""),"",K190*L190)</x:f>
      </x:c>
      <x:c r="N190" s="108" t="str">
        <x:f>IF(I190="","Single",IF(LEFT(I190,2)="2x","Double","Single"))</x:f>
        <x:v>Single</x:v>
      </x:c>
      <x:c r="O190" s="109" t="n">
        <x:f>IF(N190="","",IF(N190="Double",Summary!$B$37,Summary!$B$36))</x:f>
        <x:v>5</x:v>
      </x:c>
      <x:c r="P190" s="109" t="str">
        <x:f>IF(K190="","",K190+O190)</x:f>
      </x:c>
      <x:c r="Q190" s="111" t="str">
        <x:f>IF(P190="","",P190*Summary!$B$35)</x:f>
      </x:c>
      <x:c r="R190" s="112" t="n">
        <x:f>IF(N190="","",IF(N190="Double",Summary!$B$39,Summary!$B$38))</x:f>
        <x:v>1.6</x:v>
      </x:c>
      <x:c r="S190" s="113" t="str">
        <x:f>IF(Q190="","",Q190*R190)</x:f>
      </x:c>
    </x:row>
    <x:row r="191">
      <x:c r="A191" s="107"/>
      <x:c r="B191" s="108"/>
      <x:c r="C191" s="108"/>
      <x:c r="D191" s="108"/>
      <x:c r="E191" s="108"/>
      <x:c r="F191" s="108"/>
      <x:c r="G191" s="108"/>
      <x:c r="H191" s="108"/>
      <x:c r="I191" s="108"/>
      <x:c r="J191" s="108"/>
      <x:c r="K191" s="109"/>
      <x:c r="L191" s="110"/>
      <x:c r="M191" s="109" t="str">
        <x:f>IF(OR(K191="",L191=""),"",K191*L191)</x:f>
      </x:c>
      <x:c r="N191" s="108" t="str">
        <x:f>IF(I191="","Single",IF(LEFT(I191,2)="2x","Double","Single"))</x:f>
        <x:v>Single</x:v>
      </x:c>
      <x:c r="O191" s="109" t="n">
        <x:f>IF(N191="","",IF(N191="Double",Summary!$B$37,Summary!$B$36))</x:f>
        <x:v>5</x:v>
      </x:c>
      <x:c r="P191" s="109" t="str">
        <x:f>IF(K191="","",K191+O191)</x:f>
      </x:c>
      <x:c r="Q191" s="111" t="str">
        <x:f>IF(P191="","",P191*Summary!$B$35)</x:f>
      </x:c>
      <x:c r="R191" s="112" t="n">
        <x:f>IF(N191="","",IF(N191="Double",Summary!$B$39,Summary!$B$38))</x:f>
        <x:v>1.6</x:v>
      </x:c>
      <x:c r="S191" s="113" t="str">
        <x:f>IF(Q191="","",Q191*R191)</x:f>
      </x:c>
    </x:row>
    <x:row r="192">
      <x:c r="A192" s="107"/>
      <x:c r="B192" s="108"/>
      <x:c r="C192" s="108"/>
      <x:c r="D192" s="108"/>
      <x:c r="E192" s="108"/>
      <x:c r="F192" s="108"/>
      <x:c r="G192" s="108"/>
      <x:c r="H192" s="108"/>
      <x:c r="I192" s="108"/>
      <x:c r="J192" s="108"/>
      <x:c r="K192" s="109"/>
      <x:c r="L192" s="110"/>
      <x:c r="M192" s="109" t="str">
        <x:f>IF(OR(K192="",L192=""),"",K192*L192)</x:f>
      </x:c>
      <x:c r="N192" s="108" t="str">
        <x:f>IF(I192="","Single",IF(LEFT(I192,2)="2x","Double","Single"))</x:f>
        <x:v>Single</x:v>
      </x:c>
      <x:c r="O192" s="109" t="n">
        <x:f>IF(N192="","",IF(N192="Double",Summary!$B$37,Summary!$B$36))</x:f>
        <x:v>5</x:v>
      </x:c>
      <x:c r="P192" s="109" t="str">
        <x:f>IF(K192="","",K192+O192)</x:f>
      </x:c>
      <x:c r="Q192" s="111" t="str">
        <x:f>IF(P192="","",P192*Summary!$B$35)</x:f>
      </x:c>
      <x:c r="R192" s="112" t="n">
        <x:f>IF(N192="","",IF(N192="Double",Summary!$B$39,Summary!$B$38))</x:f>
        <x:v>1.6</x:v>
      </x:c>
      <x:c r="S192" s="113" t="str">
        <x:f>IF(Q192="","",Q192*R192)</x:f>
      </x:c>
    </x:row>
    <x:row r="193">
      <x:c r="A193" s="107"/>
      <x:c r="B193" s="108"/>
      <x:c r="C193" s="108"/>
      <x:c r="D193" s="108"/>
      <x:c r="E193" s="108"/>
      <x:c r="F193" s="108"/>
      <x:c r="G193" s="108"/>
      <x:c r="H193" s="108"/>
      <x:c r="I193" s="108"/>
      <x:c r="J193" s="108"/>
      <x:c r="K193" s="109"/>
      <x:c r="L193" s="110"/>
      <x:c r="M193" s="109" t="str">
        <x:f>IF(OR(K193="",L193=""),"",K193*L193)</x:f>
      </x:c>
      <x:c r="N193" s="108" t="str">
        <x:f>IF(I193="","Single",IF(LEFT(I193,2)="2x","Double","Single"))</x:f>
        <x:v>Single</x:v>
      </x:c>
      <x:c r="O193" s="109" t="n">
        <x:f>IF(N193="","",IF(N193="Double",Summary!$B$37,Summary!$B$36))</x:f>
        <x:v>5</x:v>
      </x:c>
      <x:c r="P193" s="109" t="str">
        <x:f>IF(K193="","",K193+O193)</x:f>
      </x:c>
      <x:c r="Q193" s="111" t="str">
        <x:f>IF(P193="","",P193*Summary!$B$35)</x:f>
      </x:c>
      <x:c r="R193" s="112" t="n">
        <x:f>IF(N193="","",IF(N193="Double",Summary!$B$39,Summary!$B$38))</x:f>
        <x:v>1.6</x:v>
      </x:c>
      <x:c r="S193" s="113" t="str">
        <x:f>IF(Q193="","",Q193*R193)</x:f>
      </x:c>
    </x:row>
    <x:row r="194">
      <x:c r="A194" s="107"/>
      <x:c r="B194" s="108"/>
      <x:c r="C194" s="108"/>
      <x:c r="D194" s="108"/>
      <x:c r="E194" s="108"/>
      <x:c r="F194" s="108"/>
      <x:c r="G194" s="108"/>
      <x:c r="H194" s="108"/>
      <x:c r="I194" s="108"/>
      <x:c r="J194" s="108"/>
      <x:c r="K194" s="109"/>
      <x:c r="L194" s="110"/>
      <x:c r="M194" s="109" t="str">
        <x:f>IF(OR(K194="",L194=""),"",K194*L194)</x:f>
      </x:c>
      <x:c r="N194" s="108" t="str">
        <x:f>IF(I194="","Single",IF(LEFT(I194,2)="2x","Double","Single"))</x:f>
        <x:v>Single</x:v>
      </x:c>
      <x:c r="O194" s="109" t="n">
        <x:f>IF(N194="","",IF(N194="Double",Summary!$B$37,Summary!$B$36))</x:f>
        <x:v>5</x:v>
      </x:c>
      <x:c r="P194" s="109" t="str">
        <x:f>IF(K194="","",K194+O194)</x:f>
      </x:c>
      <x:c r="Q194" s="111" t="str">
        <x:f>IF(P194="","",P194*Summary!$B$35)</x:f>
      </x:c>
      <x:c r="R194" s="112" t="n">
        <x:f>IF(N194="","",IF(N194="Double",Summary!$B$39,Summary!$B$38))</x:f>
        <x:v>1.6</x:v>
      </x:c>
      <x:c r="S194" s="113" t="str">
        <x:f>IF(Q194="","",Q194*R194)</x:f>
      </x:c>
    </x:row>
    <x:row r="195">
      <x:c r="A195" s="107"/>
      <x:c r="B195" s="108"/>
      <x:c r="C195" s="108"/>
      <x:c r="D195" s="108"/>
      <x:c r="E195" s="108"/>
      <x:c r="F195" s="108"/>
      <x:c r="G195" s="108"/>
      <x:c r="H195" s="108"/>
      <x:c r="I195" s="108"/>
      <x:c r="J195" s="108"/>
      <x:c r="K195" s="109"/>
      <x:c r="L195" s="110"/>
      <x:c r="M195" s="109" t="str">
        <x:f>IF(OR(K195="",L195=""),"",K195*L195)</x:f>
      </x:c>
      <x:c r="N195" s="108" t="str">
        <x:f>IF(I195="","Single",IF(LEFT(I195,2)="2x","Double","Single"))</x:f>
        <x:v>Single</x:v>
      </x:c>
      <x:c r="O195" s="109" t="n">
        <x:f>IF(N195="","",IF(N195="Double",Summary!$B$37,Summary!$B$36))</x:f>
        <x:v>5</x:v>
      </x:c>
      <x:c r="P195" s="109" t="str">
        <x:f>IF(K195="","",K195+O195)</x:f>
      </x:c>
      <x:c r="Q195" s="111" t="str">
        <x:f>IF(P195="","",P195*Summary!$B$35)</x:f>
      </x:c>
      <x:c r="R195" s="112" t="n">
        <x:f>IF(N195="","",IF(N195="Double",Summary!$B$39,Summary!$B$38))</x:f>
        <x:v>1.6</x:v>
      </x:c>
      <x:c r="S195" s="113" t="str">
        <x:f>IF(Q195="","",Q195*R195)</x:f>
      </x:c>
    </x:row>
    <x:row r="196">
      <x:c r="A196" s="107"/>
      <x:c r="B196" s="108"/>
      <x:c r="C196" s="108"/>
      <x:c r="D196" s="108"/>
      <x:c r="E196" s="108"/>
      <x:c r="F196" s="108"/>
      <x:c r="G196" s="108"/>
      <x:c r="H196" s="108"/>
      <x:c r="I196" s="108"/>
      <x:c r="J196" s="108"/>
      <x:c r="K196" s="109"/>
      <x:c r="L196" s="110"/>
      <x:c r="M196" s="109" t="str">
        <x:f>IF(OR(K196="",L196=""),"",K196*L196)</x:f>
      </x:c>
      <x:c r="N196" s="108" t="str">
        <x:f>IF(I196="","Single",IF(LEFT(I196,2)="2x","Double","Single"))</x:f>
        <x:v>Single</x:v>
      </x:c>
      <x:c r="O196" s="109" t="n">
        <x:f>IF(N196="","",IF(N196="Double",Summary!$B$37,Summary!$B$36))</x:f>
        <x:v>5</x:v>
      </x:c>
      <x:c r="P196" s="109" t="str">
        <x:f>IF(K196="","",K196+O196)</x:f>
      </x:c>
      <x:c r="Q196" s="111" t="str">
        <x:f>IF(P196="","",P196*Summary!$B$35)</x:f>
      </x:c>
      <x:c r="R196" s="112" t="n">
        <x:f>IF(N196="","",IF(N196="Double",Summary!$B$39,Summary!$B$38))</x:f>
        <x:v>1.6</x:v>
      </x:c>
      <x:c r="S196" s="113" t="str">
        <x:f>IF(Q196="","",Q196*R196)</x:f>
      </x:c>
    </x:row>
    <x:row r="197">
      <x:c r="A197" s="107"/>
      <x:c r="B197" s="108"/>
      <x:c r="C197" s="108"/>
      <x:c r="D197" s="108"/>
      <x:c r="E197" s="108"/>
      <x:c r="F197" s="108"/>
      <x:c r="G197" s="108"/>
      <x:c r="H197" s="108"/>
      <x:c r="I197" s="108"/>
      <x:c r="J197" s="108"/>
      <x:c r="K197" s="109"/>
      <x:c r="L197" s="110"/>
      <x:c r="M197" s="109" t="str">
        <x:f>IF(OR(K197="",L197=""),"",K197*L197)</x:f>
      </x:c>
      <x:c r="N197" s="108" t="str">
        <x:f>IF(I197="","Single",IF(LEFT(I197,2)="2x","Double","Single"))</x:f>
        <x:v>Single</x:v>
      </x:c>
      <x:c r="O197" s="109" t="n">
        <x:f>IF(N197="","",IF(N197="Double",Summary!$B$37,Summary!$B$36))</x:f>
        <x:v>5</x:v>
      </x:c>
      <x:c r="P197" s="109" t="str">
        <x:f>IF(K197="","",K197+O197)</x:f>
      </x:c>
      <x:c r="Q197" s="111" t="str">
        <x:f>IF(P197="","",P197*Summary!$B$35)</x:f>
      </x:c>
      <x:c r="R197" s="112" t="n">
        <x:f>IF(N197="","",IF(N197="Double",Summary!$B$39,Summary!$B$38))</x:f>
        <x:v>1.6</x:v>
      </x:c>
      <x:c r="S197" s="113" t="str">
        <x:f>IF(Q197="","",Q197*R197)</x:f>
      </x:c>
    </x:row>
    <x:row r="198">
      <x:c r="A198" s="107"/>
      <x:c r="B198" s="108"/>
      <x:c r="C198" s="108"/>
      <x:c r="D198" s="108"/>
      <x:c r="E198" s="108"/>
      <x:c r="F198" s="108"/>
      <x:c r="G198" s="108"/>
      <x:c r="H198" s="108"/>
      <x:c r="I198" s="108"/>
      <x:c r="J198" s="108"/>
      <x:c r="K198" s="109"/>
      <x:c r="L198" s="110"/>
      <x:c r="M198" s="109" t="str">
        <x:f>IF(OR(K198="",L198=""),"",K198*L198)</x:f>
      </x:c>
      <x:c r="N198" s="108" t="str">
        <x:f>IF(I198="","Single",IF(LEFT(I198,2)="2x","Double","Single"))</x:f>
        <x:v>Single</x:v>
      </x:c>
      <x:c r="O198" s="109" t="n">
        <x:f>IF(N198="","",IF(N198="Double",Summary!$B$37,Summary!$B$36))</x:f>
        <x:v>5</x:v>
      </x:c>
      <x:c r="P198" s="109" t="str">
        <x:f>IF(K198="","",K198+O198)</x:f>
      </x:c>
      <x:c r="Q198" s="111" t="str">
        <x:f>IF(P198="","",P198*Summary!$B$35)</x:f>
      </x:c>
      <x:c r="R198" s="112" t="n">
        <x:f>IF(N198="","",IF(N198="Double",Summary!$B$39,Summary!$B$38))</x:f>
        <x:v>1.6</x:v>
      </x:c>
      <x:c r="S198" s="113" t="str">
        <x:f>IF(Q198="","",Q198*R198)</x:f>
      </x:c>
    </x:row>
    <x:row r="199">
      <x:c r="A199" s="107"/>
      <x:c r="B199" s="108"/>
      <x:c r="C199" s="108"/>
      <x:c r="D199" s="108"/>
      <x:c r="E199" s="108"/>
      <x:c r="F199" s="108"/>
      <x:c r="G199" s="108"/>
      <x:c r="H199" s="108"/>
      <x:c r="I199" s="108"/>
      <x:c r="J199" s="108"/>
      <x:c r="K199" s="109"/>
      <x:c r="L199" s="110"/>
      <x:c r="M199" s="109" t="str">
        <x:f>IF(OR(K199="",L199=""),"",K199*L199)</x:f>
      </x:c>
      <x:c r="N199" s="108" t="str">
        <x:f>IF(I199="","Single",IF(LEFT(I199,2)="2x","Double","Single"))</x:f>
        <x:v>Single</x:v>
      </x:c>
      <x:c r="O199" s="109" t="n">
        <x:f>IF(N199="","",IF(N199="Double",Summary!$B$37,Summary!$B$36))</x:f>
        <x:v>5</x:v>
      </x:c>
      <x:c r="P199" s="109" t="str">
        <x:f>IF(K199="","",K199+O199)</x:f>
      </x:c>
      <x:c r="Q199" s="111" t="str">
        <x:f>IF(P199="","",P199*Summary!$B$35)</x:f>
      </x:c>
      <x:c r="R199" s="112" t="n">
        <x:f>IF(N199="","",IF(N199="Double",Summary!$B$39,Summary!$B$38))</x:f>
        <x:v>1.6</x:v>
      </x:c>
      <x:c r="S199" s="113" t="str">
        <x:f>IF(Q199="","",Q199*R199)</x:f>
      </x:c>
    </x:row>
    <x:row r="200">
      <x:c r="A200" s="107"/>
      <x:c r="B200" s="108"/>
      <x:c r="C200" s="108"/>
      <x:c r="D200" s="108"/>
      <x:c r="E200" s="108"/>
      <x:c r="F200" s="108"/>
      <x:c r="G200" s="108"/>
      <x:c r="H200" s="108"/>
      <x:c r="I200" s="108"/>
      <x:c r="J200" s="108"/>
      <x:c r="K200" s="109"/>
      <x:c r="L200" s="110"/>
      <x:c r="M200" s="109" t="str">
        <x:f>IF(OR(K200="",L200=""),"",K200*L200)</x:f>
      </x:c>
      <x:c r="N200" s="108" t="str">
        <x:f>IF(I200="","Single",IF(LEFT(I200,2)="2x","Double","Single"))</x:f>
        <x:v>Single</x:v>
      </x:c>
      <x:c r="O200" s="109" t="n">
        <x:f>IF(N200="","",IF(N200="Double",Summary!$B$37,Summary!$B$36))</x:f>
        <x:v>5</x:v>
      </x:c>
      <x:c r="P200" s="109" t="str">
        <x:f>IF(K200="","",K200+O200)</x:f>
      </x:c>
      <x:c r="Q200" s="111" t="str">
        <x:f>IF(P200="","",P200*Summary!$B$35)</x:f>
      </x:c>
      <x:c r="R200" s="112" t="n">
        <x:f>IF(N200="","",IF(N200="Double",Summary!$B$39,Summary!$B$38))</x:f>
        <x:v>1.6</x:v>
      </x:c>
      <x:c r="S200" s="113" t="str">
        <x:f>IF(Q200="","",Q200*R200)</x:f>
      </x:c>
    </x:row>
    <x:row r="201">
      <x:c r="A201" s="107"/>
      <x:c r="B201" s="108"/>
      <x:c r="C201" s="108"/>
      <x:c r="D201" s="108"/>
      <x:c r="E201" s="108"/>
      <x:c r="F201" s="108"/>
      <x:c r="G201" s="108"/>
      <x:c r="H201" s="108"/>
      <x:c r="I201" s="108"/>
      <x:c r="J201" s="108"/>
      <x:c r="K201" s="109"/>
      <x:c r="L201" s="110"/>
      <x:c r="M201" s="109" t="str">
        <x:f>IF(OR(K201="",L201=""),"",K201*L201)</x:f>
      </x:c>
      <x:c r="N201" s="108" t="str">
        <x:f>IF(I201="","Single",IF(LEFT(I201,2)="2x","Double","Single"))</x:f>
        <x:v>Single</x:v>
      </x:c>
      <x:c r="O201" s="109" t="n">
        <x:f>IF(N201="","",IF(N201="Double",Summary!$B$37,Summary!$B$36))</x:f>
        <x:v>5</x:v>
      </x:c>
      <x:c r="P201" s="109" t="str">
        <x:f>IF(K201="","",K201+O201)</x:f>
      </x:c>
      <x:c r="Q201" s="111" t="str">
        <x:f>IF(P201="","",P201*Summary!$B$35)</x:f>
      </x:c>
      <x:c r="R201" s="112" t="n">
        <x:f>IF(N201="","",IF(N201="Double",Summary!$B$39,Summary!$B$38))</x:f>
        <x:v>1.6</x:v>
      </x:c>
      <x:c r="S201" s="113" t="str">
        <x:f>IF(Q201="","",Q201*R201)</x:f>
      </x:c>
    </x:row>
    <x:row r="202">
      <x:c r="A202" s="107"/>
      <x:c r="B202" s="108"/>
      <x:c r="C202" s="108"/>
      <x:c r="D202" s="108"/>
      <x:c r="E202" s="108"/>
      <x:c r="F202" s="108"/>
      <x:c r="G202" s="108"/>
      <x:c r="H202" s="108"/>
      <x:c r="I202" s="108"/>
      <x:c r="J202" s="108"/>
      <x:c r="K202" s="109"/>
      <x:c r="L202" s="110"/>
      <x:c r="M202" s="109" t="str">
        <x:f>IF(OR(K202="",L202=""),"",K202*L202)</x:f>
      </x:c>
      <x:c r="N202" s="108" t="str">
        <x:f>IF(I202="","Single",IF(LEFT(I202,2)="2x","Double","Single"))</x:f>
        <x:v>Single</x:v>
      </x:c>
      <x:c r="O202" s="109" t="n">
        <x:f>IF(N202="","",IF(N202="Double",Summary!$B$37,Summary!$B$36))</x:f>
        <x:v>5</x:v>
      </x:c>
      <x:c r="P202" s="109" t="str">
        <x:f>IF(K202="","",K202+O202)</x:f>
      </x:c>
      <x:c r="Q202" s="111" t="str">
        <x:f>IF(P202="","",P202*Summary!$B$35)</x:f>
      </x:c>
      <x:c r="R202" s="112" t="n">
        <x:f>IF(N202="","",IF(N202="Double",Summary!$B$39,Summary!$B$38))</x:f>
        <x:v>1.6</x:v>
      </x:c>
      <x:c r="S202" s="113" t="str">
        <x:f>IF(Q202="","",Q202*R202)</x:f>
      </x:c>
    </x:row>
    <x:row r="203">
      <x:c r="A203" s="107"/>
      <x:c r="B203" s="108"/>
      <x:c r="C203" s="108"/>
      <x:c r="D203" s="108"/>
      <x:c r="E203" s="108"/>
      <x:c r="F203" s="108"/>
      <x:c r="G203" s="108"/>
      <x:c r="H203" s="108"/>
      <x:c r="I203" s="108"/>
      <x:c r="J203" s="108"/>
      <x:c r="K203" s="109"/>
      <x:c r="L203" s="110"/>
      <x:c r="M203" s="109" t="str">
        <x:f>IF(OR(K203="",L203=""),"",K203*L203)</x:f>
      </x:c>
      <x:c r="N203" s="108" t="str">
        <x:f>IF(I203="","Single",IF(LEFT(I203,2)="2x","Double","Single"))</x:f>
        <x:v>Single</x:v>
      </x:c>
      <x:c r="O203" s="109" t="n">
        <x:f>IF(N203="","",IF(N203="Double",Summary!$B$37,Summary!$B$36))</x:f>
        <x:v>5</x:v>
      </x:c>
      <x:c r="P203" s="109" t="str">
        <x:f>IF(K203="","",K203+O203)</x:f>
      </x:c>
      <x:c r="Q203" s="111" t="str">
        <x:f>IF(P203="","",P203*Summary!$B$35)</x:f>
      </x:c>
      <x:c r="R203" s="112" t="n">
        <x:f>IF(N203="","",IF(N203="Double",Summary!$B$39,Summary!$B$38))</x:f>
        <x:v>1.6</x:v>
      </x:c>
      <x:c r="S203" s="113" t="str">
        <x:f>IF(Q203="","",Q203*R203)</x:f>
      </x:c>
    </x:row>
    <x:row r="204">
      <x:c r="A204" s="107"/>
      <x:c r="B204" s="108"/>
      <x:c r="C204" s="108"/>
      <x:c r="D204" s="108"/>
      <x:c r="E204" s="108"/>
      <x:c r="F204" s="108"/>
      <x:c r="G204" s="108"/>
      <x:c r="H204" s="108"/>
      <x:c r="I204" s="108"/>
      <x:c r="J204" s="108"/>
      <x:c r="K204" s="109"/>
      <x:c r="L204" s="110"/>
      <x:c r="M204" s="109" t="str">
        <x:f>IF(OR(K204="",L204=""),"",K204*L204)</x:f>
      </x:c>
      <x:c r="N204" s="108" t="str">
        <x:f>IF(I204="","Single",IF(LEFT(I204,2)="2x","Double","Single"))</x:f>
        <x:v>Single</x:v>
      </x:c>
      <x:c r="O204" s="109" t="n">
        <x:f>IF(N204="","",IF(N204="Double",Summary!$B$37,Summary!$B$36))</x:f>
        <x:v>5</x:v>
      </x:c>
      <x:c r="P204" s="109" t="str">
        <x:f>IF(K204="","",K204+O204)</x:f>
      </x:c>
      <x:c r="Q204" s="111" t="str">
        <x:f>IF(P204="","",P204*Summary!$B$35)</x:f>
      </x:c>
      <x:c r="R204" s="112" t="n">
        <x:f>IF(N204="","",IF(N204="Double",Summary!$B$39,Summary!$B$38))</x:f>
        <x:v>1.6</x:v>
      </x:c>
      <x:c r="S204" s="113" t="str">
        <x:f>IF(Q204="","",Q204*R204)</x:f>
      </x:c>
    </x:row>
    <x:row r="205">
      <x:c r="A205" s="107"/>
      <x:c r="B205" s="108"/>
      <x:c r="C205" s="108"/>
      <x:c r="D205" s="108"/>
      <x:c r="E205" s="108"/>
      <x:c r="F205" s="108"/>
      <x:c r="G205" s="108"/>
      <x:c r="H205" s="108"/>
      <x:c r="I205" s="108"/>
      <x:c r="J205" s="108"/>
      <x:c r="K205" s="109"/>
      <x:c r="L205" s="110"/>
      <x:c r="M205" s="109" t="str">
        <x:f>IF(OR(K205="",L205=""),"",K205*L205)</x:f>
      </x:c>
      <x:c r="N205" s="108" t="str">
        <x:f>IF(I205="","Single",IF(LEFT(I205,2)="2x","Double","Single"))</x:f>
        <x:v>Single</x:v>
      </x:c>
      <x:c r="O205" s="109" t="n">
        <x:f>IF(N205="","",IF(N205="Double",Summary!$B$37,Summary!$B$36))</x:f>
        <x:v>5</x:v>
      </x:c>
      <x:c r="P205" s="109" t="str">
        <x:f>IF(K205="","",K205+O205)</x:f>
      </x:c>
      <x:c r="Q205" s="111" t="str">
        <x:f>IF(P205="","",P205*Summary!$B$35)</x:f>
      </x:c>
      <x:c r="R205" s="112" t="n">
        <x:f>IF(N205="","",IF(N205="Double",Summary!$B$39,Summary!$B$38))</x:f>
        <x:v>1.6</x:v>
      </x:c>
      <x:c r="S205" s="113" t="str">
        <x:f>IF(Q205="","",Q205*R205)</x:f>
      </x:c>
    </x:row>
    <x:row r="206">
      <x:c r="A206" s="107"/>
      <x:c r="B206" s="108"/>
      <x:c r="C206" s="108"/>
      <x:c r="D206" s="108"/>
      <x:c r="E206" s="108"/>
      <x:c r="F206" s="108"/>
      <x:c r="G206" s="108"/>
      <x:c r="H206" s="108"/>
      <x:c r="I206" s="108"/>
      <x:c r="J206" s="108"/>
      <x:c r="K206" s="109"/>
      <x:c r="L206" s="110"/>
      <x:c r="M206" s="109" t="str">
        <x:f>IF(OR(K206="",L206=""),"",K206*L206)</x:f>
      </x:c>
      <x:c r="N206" s="108" t="str">
        <x:f>IF(I206="","Single",IF(LEFT(I206,2)="2x","Double","Single"))</x:f>
        <x:v>Single</x:v>
      </x:c>
      <x:c r="O206" s="109" t="n">
        <x:f>IF(N206="","",IF(N206="Double",Summary!$B$37,Summary!$B$36))</x:f>
        <x:v>5</x:v>
      </x:c>
      <x:c r="P206" s="109" t="str">
        <x:f>IF(K206="","",K206+O206)</x:f>
      </x:c>
      <x:c r="Q206" s="111" t="str">
        <x:f>IF(P206="","",P206*Summary!$B$35)</x:f>
      </x:c>
      <x:c r="R206" s="112" t="n">
        <x:f>IF(N206="","",IF(N206="Double",Summary!$B$39,Summary!$B$38))</x:f>
        <x:v>1.6</x:v>
      </x:c>
      <x:c r="S206" s="113" t="str">
        <x:f>IF(Q206="","",Q206*R206)</x:f>
      </x:c>
    </x:row>
    <x:row r="207">
      <x:c r="A207" s="107"/>
      <x:c r="B207" s="108"/>
      <x:c r="C207" s="108"/>
      <x:c r="D207" s="108"/>
      <x:c r="E207" s="108"/>
      <x:c r="F207" s="108"/>
      <x:c r="G207" s="108"/>
      <x:c r="H207" s="108"/>
      <x:c r="I207" s="108"/>
      <x:c r="J207" s="108"/>
      <x:c r="K207" s="109"/>
      <x:c r="L207" s="110"/>
      <x:c r="M207" s="109" t="str">
        <x:f>IF(OR(K207="",L207=""),"",K207*L207)</x:f>
      </x:c>
      <x:c r="N207" s="108" t="str">
        <x:f>IF(I207="","Single",IF(LEFT(I207,2)="2x","Double","Single"))</x:f>
        <x:v>Single</x:v>
      </x:c>
      <x:c r="O207" s="109" t="n">
        <x:f>IF(N207="","",IF(N207="Double",Summary!$B$37,Summary!$B$36))</x:f>
        <x:v>5</x:v>
      </x:c>
      <x:c r="P207" s="109" t="str">
        <x:f>IF(K207="","",K207+O207)</x:f>
      </x:c>
      <x:c r="Q207" s="111" t="str">
        <x:f>IF(P207="","",P207*Summary!$B$35)</x:f>
      </x:c>
      <x:c r="R207" s="112" t="n">
        <x:f>IF(N207="","",IF(N207="Double",Summary!$B$39,Summary!$B$38))</x:f>
        <x:v>1.6</x:v>
      </x:c>
      <x:c r="S207" s="113" t="str">
        <x:f>IF(Q207="","",Q207*R207)</x:f>
      </x:c>
    </x:row>
    <x:row r="208">
      <x:c r="A208" s="107"/>
      <x:c r="B208" s="108"/>
      <x:c r="C208" s="108"/>
      <x:c r="D208" s="108"/>
      <x:c r="E208" s="108"/>
      <x:c r="F208" s="108"/>
      <x:c r="G208" s="108"/>
      <x:c r="H208" s="108"/>
      <x:c r="I208" s="108"/>
      <x:c r="J208" s="108"/>
      <x:c r="K208" s="109"/>
      <x:c r="L208" s="110"/>
      <x:c r="M208" s="109" t="str">
        <x:f>IF(OR(K208="",L208=""),"",K208*L208)</x:f>
      </x:c>
      <x:c r="N208" s="108" t="str">
        <x:f>IF(I208="","Single",IF(LEFT(I208,2)="2x","Double","Single"))</x:f>
        <x:v>Single</x:v>
      </x:c>
      <x:c r="O208" s="109" t="n">
        <x:f>IF(N208="","",IF(N208="Double",Summary!$B$37,Summary!$B$36))</x:f>
        <x:v>5</x:v>
      </x:c>
      <x:c r="P208" s="109" t="str">
        <x:f>IF(K208="","",K208+O208)</x:f>
      </x:c>
      <x:c r="Q208" s="111" t="str">
        <x:f>IF(P208="","",P208*Summary!$B$35)</x:f>
      </x:c>
      <x:c r="R208" s="112" t="n">
        <x:f>IF(N208="","",IF(N208="Double",Summary!$B$39,Summary!$B$38))</x:f>
        <x:v>1.6</x:v>
      </x:c>
      <x:c r="S208" s="113" t="str">
        <x:f>IF(Q208="","",Q208*R208)</x:f>
      </x:c>
    </x:row>
    <x:row r="209">
      <x:c r="A209" s="107"/>
      <x:c r="B209" s="108"/>
      <x:c r="C209" s="108"/>
      <x:c r="D209" s="108"/>
      <x:c r="E209" s="108"/>
      <x:c r="F209" s="108"/>
      <x:c r="G209" s="108"/>
      <x:c r="H209" s="108"/>
      <x:c r="I209" s="108"/>
      <x:c r="J209" s="108"/>
      <x:c r="K209" s="109"/>
      <x:c r="L209" s="110"/>
      <x:c r="M209" s="109" t="str">
        <x:f>IF(OR(K209="",L209=""),"",K209*L209)</x:f>
      </x:c>
      <x:c r="N209" s="108" t="str">
        <x:f>IF(I209="","Single",IF(LEFT(I209,2)="2x","Double","Single"))</x:f>
        <x:v>Single</x:v>
      </x:c>
      <x:c r="O209" s="109" t="n">
        <x:f>IF(N209="","",IF(N209="Double",Summary!$B$37,Summary!$B$36))</x:f>
        <x:v>5</x:v>
      </x:c>
      <x:c r="P209" s="109" t="str">
        <x:f>IF(K209="","",K209+O209)</x:f>
      </x:c>
      <x:c r="Q209" s="111" t="str">
        <x:f>IF(P209="","",P209*Summary!$B$35)</x:f>
      </x:c>
      <x:c r="R209" s="112" t="n">
        <x:f>IF(N209="","",IF(N209="Double",Summary!$B$39,Summary!$B$38))</x:f>
        <x:v>1.6</x:v>
      </x:c>
      <x:c r="S209" s="113" t="str">
        <x:f>IF(Q209="","",Q209*R209)</x:f>
      </x:c>
    </x:row>
    <x:row r="210">
      <x:c r="A210" s="107"/>
      <x:c r="B210" s="108"/>
      <x:c r="C210" s="108"/>
      <x:c r="D210" s="108"/>
      <x:c r="E210" s="108"/>
      <x:c r="F210" s="108"/>
      <x:c r="G210" s="108"/>
      <x:c r="H210" s="108"/>
      <x:c r="I210" s="108"/>
      <x:c r="J210" s="108"/>
      <x:c r="K210" s="109"/>
      <x:c r="L210" s="110"/>
      <x:c r="M210" s="109" t="str">
        <x:f>IF(OR(K210="",L210=""),"",K210*L210)</x:f>
      </x:c>
      <x:c r="N210" s="108" t="str">
        <x:f>IF(I210="","Single",IF(LEFT(I210,2)="2x","Double","Single"))</x:f>
        <x:v>Single</x:v>
      </x:c>
      <x:c r="O210" s="109" t="n">
        <x:f>IF(N210="","",IF(N210="Double",Summary!$B$37,Summary!$B$36))</x:f>
        <x:v>5</x:v>
      </x:c>
      <x:c r="P210" s="109" t="str">
        <x:f>IF(K210="","",K210+O210)</x:f>
      </x:c>
      <x:c r="Q210" s="111" t="str">
        <x:f>IF(P210="","",P210*Summary!$B$35)</x:f>
      </x:c>
      <x:c r="R210" s="112" t="n">
        <x:f>IF(N210="","",IF(N210="Double",Summary!$B$39,Summary!$B$38))</x:f>
        <x:v>1.6</x:v>
      </x:c>
      <x:c r="S210" s="113" t="str">
        <x:f>IF(Q210="","",Q210*R210)</x:f>
      </x:c>
    </x:row>
    <x:row r="211">
      <x:c r="A211" s="107"/>
      <x:c r="B211" s="108"/>
      <x:c r="C211" s="108"/>
      <x:c r="D211" s="108"/>
      <x:c r="E211" s="108"/>
      <x:c r="F211" s="108"/>
      <x:c r="G211" s="108"/>
      <x:c r="H211" s="108"/>
      <x:c r="I211" s="108"/>
      <x:c r="J211" s="108"/>
      <x:c r="K211" s="109"/>
      <x:c r="L211" s="110"/>
      <x:c r="M211" s="109" t="str">
        <x:f>IF(OR(K211="",L211=""),"",K211*L211)</x:f>
      </x:c>
      <x:c r="N211" s="108" t="str">
        <x:f>IF(I211="","Single",IF(LEFT(I211,2)="2x","Double","Single"))</x:f>
        <x:v>Single</x:v>
      </x:c>
      <x:c r="O211" s="109" t="n">
        <x:f>IF(N211="","",IF(N211="Double",Summary!$B$37,Summary!$B$36))</x:f>
        <x:v>5</x:v>
      </x:c>
      <x:c r="P211" s="109" t="str">
        <x:f>IF(K211="","",K211+O211)</x:f>
      </x:c>
      <x:c r="Q211" s="111" t="str">
        <x:f>IF(P211="","",P211*Summary!$B$35)</x:f>
      </x:c>
      <x:c r="R211" s="112" t="n">
        <x:f>IF(N211="","",IF(N211="Double",Summary!$B$39,Summary!$B$38))</x:f>
        <x:v>1.6</x:v>
      </x:c>
      <x:c r="S211" s="113" t="str">
        <x:f>IF(Q211="","",Q211*R211)</x:f>
      </x:c>
    </x:row>
    <x:row r="212">
      <x:c r="A212" s="107"/>
      <x:c r="B212" s="108"/>
      <x:c r="C212" s="108"/>
      <x:c r="D212" s="108"/>
      <x:c r="E212" s="108"/>
      <x:c r="F212" s="108"/>
      <x:c r="G212" s="108"/>
      <x:c r="H212" s="108"/>
      <x:c r="I212" s="108"/>
      <x:c r="J212" s="108"/>
      <x:c r="K212" s="109"/>
      <x:c r="L212" s="110"/>
      <x:c r="M212" s="109" t="str">
        <x:f>IF(OR(K212="",L212=""),"",K212*L212)</x:f>
      </x:c>
      <x:c r="N212" s="108" t="str">
        <x:f>IF(I212="","Single",IF(LEFT(I212,2)="2x","Double","Single"))</x:f>
        <x:v>Single</x:v>
      </x:c>
      <x:c r="O212" s="109" t="n">
        <x:f>IF(N212="","",IF(N212="Double",Summary!$B$37,Summary!$B$36))</x:f>
        <x:v>5</x:v>
      </x:c>
      <x:c r="P212" s="109" t="str">
        <x:f>IF(K212="","",K212+O212)</x:f>
      </x:c>
      <x:c r="Q212" s="111" t="str">
        <x:f>IF(P212="","",P212*Summary!$B$35)</x:f>
      </x:c>
      <x:c r="R212" s="112" t="n">
        <x:f>IF(N212="","",IF(N212="Double",Summary!$B$39,Summary!$B$38))</x:f>
        <x:v>1.6</x:v>
      </x:c>
      <x:c r="S212" s="113" t="str">
        <x:f>IF(Q212="","",Q212*R212)</x:f>
      </x:c>
    </x:row>
    <x:row r="213">
      <x:c r="A213" s="107"/>
      <x:c r="B213" s="108"/>
      <x:c r="C213" s="108"/>
      <x:c r="D213" s="108"/>
      <x:c r="E213" s="108"/>
      <x:c r="F213" s="108"/>
      <x:c r="G213" s="108"/>
      <x:c r="H213" s="108"/>
      <x:c r="I213" s="108"/>
      <x:c r="J213" s="108"/>
      <x:c r="K213" s="109"/>
      <x:c r="L213" s="110"/>
      <x:c r="M213" s="109" t="str">
        <x:f>IF(OR(K213="",L213=""),"",K213*L213)</x:f>
      </x:c>
      <x:c r="N213" s="108" t="str">
        <x:f>IF(I213="","Single",IF(LEFT(I213,2)="2x","Double","Single"))</x:f>
        <x:v>Single</x:v>
      </x:c>
      <x:c r="O213" s="109" t="n">
        <x:f>IF(N213="","",IF(N213="Double",Summary!$B$37,Summary!$B$36))</x:f>
        <x:v>5</x:v>
      </x:c>
      <x:c r="P213" s="109" t="str">
        <x:f>IF(K213="","",K213+O213)</x:f>
      </x:c>
      <x:c r="Q213" s="111" t="str">
        <x:f>IF(P213="","",P213*Summary!$B$35)</x:f>
      </x:c>
      <x:c r="R213" s="112" t="n">
        <x:f>IF(N213="","",IF(N213="Double",Summary!$B$39,Summary!$B$38))</x:f>
        <x:v>1.6</x:v>
      </x:c>
      <x:c r="S213" s="113" t="str">
        <x:f>IF(Q213="","",Q213*R213)</x:f>
      </x:c>
    </x:row>
    <x:row r="214">
      <x:c r="A214" s="107"/>
      <x:c r="B214" s="108"/>
      <x:c r="C214" s="108"/>
      <x:c r="D214" s="108"/>
      <x:c r="E214" s="108"/>
      <x:c r="F214" s="108"/>
      <x:c r="G214" s="108"/>
      <x:c r="H214" s="108"/>
      <x:c r="I214" s="108"/>
      <x:c r="J214" s="108"/>
      <x:c r="K214" s="109"/>
      <x:c r="L214" s="110"/>
      <x:c r="M214" s="109" t="str">
        <x:f>IF(OR(K214="",L214=""),"",K214*L214)</x:f>
      </x:c>
      <x:c r="N214" s="108" t="str">
        <x:f>IF(I214="","Single",IF(LEFT(I214,2)="2x","Double","Single"))</x:f>
        <x:v>Single</x:v>
      </x:c>
      <x:c r="O214" s="109" t="n">
        <x:f>IF(N214="","",IF(N214="Double",Summary!$B$37,Summary!$B$36))</x:f>
        <x:v>5</x:v>
      </x:c>
      <x:c r="P214" s="109" t="str">
        <x:f>IF(K214="","",K214+O214)</x:f>
      </x:c>
      <x:c r="Q214" s="111" t="str">
        <x:f>IF(P214="","",P214*Summary!$B$35)</x:f>
      </x:c>
      <x:c r="R214" s="112" t="n">
        <x:f>IF(N214="","",IF(N214="Double",Summary!$B$39,Summary!$B$38))</x:f>
        <x:v>1.6</x:v>
      </x:c>
      <x:c r="S214" s="113" t="str">
        <x:f>IF(Q214="","",Q214*R214)</x:f>
      </x:c>
    </x:row>
    <x:row r="215">
      <x:c r="A215" s="107"/>
      <x:c r="B215" s="108"/>
      <x:c r="C215" s="108"/>
      <x:c r="D215" s="108"/>
      <x:c r="E215" s="108"/>
      <x:c r="F215" s="108"/>
      <x:c r="G215" s="108"/>
      <x:c r="H215" s="108"/>
      <x:c r="I215" s="108"/>
      <x:c r="J215" s="108"/>
      <x:c r="K215" s="109"/>
      <x:c r="L215" s="110"/>
      <x:c r="M215" s="109" t="str">
        <x:f>IF(OR(K215="",L215=""),"",K215*L215)</x:f>
      </x:c>
      <x:c r="N215" s="108" t="str">
        <x:f>IF(I215="","Single",IF(LEFT(I215,2)="2x","Double","Single"))</x:f>
        <x:v>Single</x:v>
      </x:c>
      <x:c r="O215" s="109" t="n">
        <x:f>IF(N215="","",IF(N215="Double",Summary!$B$37,Summary!$B$36))</x:f>
        <x:v>5</x:v>
      </x:c>
      <x:c r="P215" s="109" t="str">
        <x:f>IF(K215="","",K215+O215)</x:f>
      </x:c>
      <x:c r="Q215" s="111" t="str">
        <x:f>IF(P215="","",P215*Summary!$B$35)</x:f>
      </x:c>
      <x:c r="R215" s="112" t="n">
        <x:f>IF(N215="","",IF(N215="Double",Summary!$B$39,Summary!$B$38))</x:f>
        <x:v>1.6</x:v>
      </x:c>
      <x:c r="S215" s="113" t="str">
        <x:f>IF(Q215="","",Q215*R215)</x:f>
      </x:c>
    </x:row>
    <x:row r="216">
      <x:c r="A216" s="107"/>
      <x:c r="B216" s="108"/>
      <x:c r="C216" s="108"/>
      <x:c r="D216" s="108"/>
      <x:c r="E216" s="108"/>
      <x:c r="F216" s="108"/>
      <x:c r="G216" s="108"/>
      <x:c r="H216" s="108"/>
      <x:c r="I216" s="108"/>
      <x:c r="J216" s="108"/>
      <x:c r="K216" s="109"/>
      <x:c r="L216" s="110"/>
      <x:c r="M216" s="109" t="str">
        <x:f>IF(OR(K216="",L216=""),"",K216*L216)</x:f>
      </x:c>
      <x:c r="N216" s="108" t="str">
        <x:f>IF(I216="","Single",IF(LEFT(I216,2)="2x","Double","Single"))</x:f>
        <x:v>Single</x:v>
      </x:c>
      <x:c r="O216" s="109" t="n">
        <x:f>IF(N216="","",IF(N216="Double",Summary!$B$37,Summary!$B$36))</x:f>
        <x:v>5</x:v>
      </x:c>
      <x:c r="P216" s="109" t="str">
        <x:f>IF(K216="","",K216+O216)</x:f>
      </x:c>
      <x:c r="Q216" s="111" t="str">
        <x:f>IF(P216="","",P216*Summary!$B$35)</x:f>
      </x:c>
      <x:c r="R216" s="112" t="n">
        <x:f>IF(N216="","",IF(N216="Double",Summary!$B$39,Summary!$B$38))</x:f>
        <x:v>1.6</x:v>
      </x:c>
      <x:c r="S216" s="113" t="str">
        <x:f>IF(Q216="","",Q216*R216)</x:f>
      </x:c>
    </x:row>
    <x:row r="217">
      <x:c r="A217" s="107"/>
      <x:c r="B217" s="108"/>
      <x:c r="C217" s="108"/>
      <x:c r="D217" s="108"/>
      <x:c r="E217" s="108"/>
      <x:c r="F217" s="108"/>
      <x:c r="G217" s="108"/>
      <x:c r="H217" s="108"/>
      <x:c r="I217" s="108"/>
      <x:c r="J217" s="108"/>
      <x:c r="K217" s="109"/>
      <x:c r="L217" s="110"/>
      <x:c r="M217" s="109" t="str">
        <x:f>IF(OR(K217="",L217=""),"",K217*L217)</x:f>
      </x:c>
      <x:c r="N217" s="108" t="str">
        <x:f>IF(I217="","Single",IF(LEFT(I217,2)="2x","Double","Single"))</x:f>
        <x:v>Single</x:v>
      </x:c>
      <x:c r="O217" s="109" t="n">
        <x:f>IF(N217="","",IF(N217="Double",Summary!$B$37,Summary!$B$36))</x:f>
        <x:v>5</x:v>
      </x:c>
      <x:c r="P217" s="109" t="str">
        <x:f>IF(K217="","",K217+O217)</x:f>
      </x:c>
      <x:c r="Q217" s="111" t="str">
        <x:f>IF(P217="","",P217*Summary!$B$35)</x:f>
      </x:c>
      <x:c r="R217" s="112" t="n">
        <x:f>IF(N217="","",IF(N217="Double",Summary!$B$39,Summary!$B$38))</x:f>
        <x:v>1.6</x:v>
      </x:c>
      <x:c r="S217" s="113" t="str">
        <x:f>IF(Q217="","",Q217*R217)</x:f>
      </x:c>
    </x:row>
    <x:row r="218">
      <x:c r="A218" s="107"/>
      <x:c r="B218" s="108"/>
      <x:c r="C218" s="108"/>
      <x:c r="D218" s="108"/>
      <x:c r="E218" s="108"/>
      <x:c r="F218" s="108"/>
      <x:c r="G218" s="108"/>
      <x:c r="H218" s="108"/>
      <x:c r="I218" s="108"/>
      <x:c r="J218" s="108"/>
      <x:c r="K218" s="109"/>
      <x:c r="L218" s="110"/>
      <x:c r="M218" s="109" t="str">
        <x:f>IF(OR(K218="",L218=""),"",K218*L218)</x:f>
      </x:c>
      <x:c r="N218" s="108" t="str">
        <x:f>IF(I218="","Single",IF(LEFT(I218,2)="2x","Double","Single"))</x:f>
        <x:v>Single</x:v>
      </x:c>
      <x:c r="O218" s="109" t="n">
        <x:f>IF(N218="","",IF(N218="Double",Summary!$B$37,Summary!$B$36))</x:f>
        <x:v>5</x:v>
      </x:c>
      <x:c r="P218" s="109" t="str">
        <x:f>IF(K218="","",K218+O218)</x:f>
      </x:c>
      <x:c r="Q218" s="111" t="str">
        <x:f>IF(P218="","",P218*Summary!$B$35)</x:f>
      </x:c>
      <x:c r="R218" s="112" t="n">
        <x:f>IF(N218="","",IF(N218="Double",Summary!$B$39,Summary!$B$38))</x:f>
        <x:v>1.6</x:v>
      </x:c>
      <x:c r="S218" s="113" t="str">
        <x:f>IF(Q218="","",Q218*R218)</x:f>
      </x:c>
    </x:row>
    <x:row r="219">
      <x:c r="A219" s="107"/>
      <x:c r="B219" s="108"/>
      <x:c r="C219" s="108"/>
      <x:c r="D219" s="108"/>
      <x:c r="E219" s="108"/>
      <x:c r="F219" s="108"/>
      <x:c r="G219" s="108"/>
      <x:c r="H219" s="108"/>
      <x:c r="I219" s="108"/>
      <x:c r="J219" s="108"/>
      <x:c r="K219" s="109"/>
      <x:c r="L219" s="110"/>
      <x:c r="M219" s="109" t="str">
        <x:f>IF(OR(K219="",L219=""),"",K219*L219)</x:f>
      </x:c>
      <x:c r="N219" s="108" t="str">
        <x:f>IF(I219="","Single",IF(LEFT(I219,2)="2x","Double","Single"))</x:f>
        <x:v>Single</x:v>
      </x:c>
      <x:c r="O219" s="109" t="n">
        <x:f>IF(N219="","",IF(N219="Double",Summary!$B$37,Summary!$B$36))</x:f>
        <x:v>5</x:v>
      </x:c>
      <x:c r="P219" s="109" t="str">
        <x:f>IF(K219="","",K219+O219)</x:f>
      </x:c>
      <x:c r="Q219" s="111" t="str">
        <x:f>IF(P219="","",P219*Summary!$B$35)</x:f>
      </x:c>
      <x:c r="R219" s="112" t="n">
        <x:f>IF(N219="","",IF(N219="Double",Summary!$B$39,Summary!$B$38))</x:f>
        <x:v>1.6</x:v>
      </x:c>
      <x:c r="S219" s="113" t="str">
        <x:f>IF(Q219="","",Q219*R219)</x:f>
      </x:c>
    </x:row>
    <x:row r="220">
      <x:c r="A220" s="107"/>
      <x:c r="B220" s="108"/>
      <x:c r="C220" s="108"/>
      <x:c r="D220" s="108"/>
      <x:c r="E220" s="108"/>
      <x:c r="F220" s="108"/>
      <x:c r="G220" s="108"/>
      <x:c r="H220" s="108"/>
      <x:c r="I220" s="108"/>
      <x:c r="J220" s="108"/>
      <x:c r="K220" s="109"/>
      <x:c r="L220" s="110"/>
      <x:c r="M220" s="109" t="str">
        <x:f>IF(OR(K220="",L220=""),"",K220*L220)</x:f>
      </x:c>
      <x:c r="N220" s="108" t="str">
        <x:f>IF(I220="","Single",IF(LEFT(I220,2)="2x","Double","Single"))</x:f>
        <x:v>Single</x:v>
      </x:c>
      <x:c r="O220" s="109" t="n">
        <x:f>IF(N220="","",IF(N220="Double",Summary!$B$37,Summary!$B$36))</x:f>
        <x:v>5</x:v>
      </x:c>
      <x:c r="P220" s="109" t="str">
        <x:f>IF(K220="","",K220+O220)</x:f>
      </x:c>
      <x:c r="Q220" s="111" t="str">
        <x:f>IF(P220="","",P220*Summary!$B$35)</x:f>
      </x:c>
      <x:c r="R220" s="112" t="n">
        <x:f>IF(N220="","",IF(N220="Double",Summary!$B$39,Summary!$B$38))</x:f>
        <x:v>1.6</x:v>
      </x:c>
      <x:c r="S220" s="113" t="str">
        <x:f>IF(Q220="","",Q220*R220)</x:f>
      </x:c>
    </x:row>
    <x:row r="221">
      <x:c r="A221" s="107"/>
      <x:c r="B221" s="108"/>
      <x:c r="C221" s="108"/>
      <x:c r="D221" s="108"/>
      <x:c r="E221" s="108"/>
      <x:c r="F221" s="108"/>
      <x:c r="G221" s="108"/>
      <x:c r="H221" s="108"/>
      <x:c r="I221" s="108"/>
      <x:c r="J221" s="108"/>
      <x:c r="K221" s="109"/>
      <x:c r="L221" s="110"/>
      <x:c r="M221" s="109" t="str">
        <x:f>IF(OR(K221="",L221=""),"",K221*L221)</x:f>
      </x:c>
      <x:c r="N221" s="108" t="str">
        <x:f>IF(I221="","Single",IF(LEFT(I221,2)="2x","Double","Single"))</x:f>
        <x:v>Single</x:v>
      </x:c>
      <x:c r="O221" s="109" t="n">
        <x:f>IF(N221="","",IF(N221="Double",Summary!$B$37,Summary!$B$36))</x:f>
        <x:v>5</x:v>
      </x:c>
      <x:c r="P221" s="109" t="str">
        <x:f>IF(K221="","",K221+O221)</x:f>
      </x:c>
      <x:c r="Q221" s="111" t="str">
        <x:f>IF(P221="","",P221*Summary!$B$35)</x:f>
      </x:c>
      <x:c r="R221" s="112" t="n">
        <x:f>IF(N221="","",IF(N221="Double",Summary!$B$39,Summary!$B$38))</x:f>
        <x:v>1.6</x:v>
      </x:c>
      <x:c r="S221" s="113" t="str">
        <x:f>IF(Q221="","",Q221*R221)</x:f>
      </x:c>
    </x:row>
    <x:row r="222">
      <x:c r="A222" s="107"/>
      <x:c r="B222" s="108"/>
      <x:c r="C222" s="108"/>
      <x:c r="D222" s="108"/>
      <x:c r="E222" s="108"/>
      <x:c r="F222" s="108"/>
      <x:c r="G222" s="108"/>
      <x:c r="H222" s="108"/>
      <x:c r="I222" s="108"/>
      <x:c r="J222" s="108"/>
      <x:c r="K222" s="109"/>
      <x:c r="L222" s="110"/>
      <x:c r="M222" s="109" t="str">
        <x:f>IF(OR(K222="",L222=""),"",K222*L222)</x:f>
      </x:c>
      <x:c r="N222" s="108" t="str">
        <x:f>IF(I222="","Single",IF(LEFT(I222,2)="2x","Double","Single"))</x:f>
        <x:v>Single</x:v>
      </x:c>
      <x:c r="O222" s="109" t="n">
        <x:f>IF(N222="","",IF(N222="Double",Summary!$B$37,Summary!$B$36))</x:f>
        <x:v>5</x:v>
      </x:c>
      <x:c r="P222" s="109" t="str">
        <x:f>IF(K222="","",K222+O222)</x:f>
      </x:c>
      <x:c r="Q222" s="111" t="str">
        <x:f>IF(P222="","",P222*Summary!$B$35)</x:f>
      </x:c>
      <x:c r="R222" s="112" t="n">
        <x:f>IF(N222="","",IF(N222="Double",Summary!$B$39,Summary!$B$38))</x:f>
        <x:v>1.6</x:v>
      </x:c>
      <x:c r="S222" s="113" t="str">
        <x:f>IF(Q222="","",Q222*R222)</x:f>
      </x:c>
    </x:row>
    <x:row r="223">
      <x:c r="A223" s="107"/>
      <x:c r="B223" s="108"/>
      <x:c r="C223" s="108"/>
      <x:c r="D223" s="108"/>
      <x:c r="E223" s="108"/>
      <x:c r="F223" s="108"/>
      <x:c r="G223" s="108"/>
      <x:c r="H223" s="108"/>
      <x:c r="I223" s="108"/>
      <x:c r="J223" s="108"/>
      <x:c r="K223" s="109"/>
      <x:c r="L223" s="110"/>
      <x:c r="M223" s="109" t="str">
        <x:f>IF(OR(K223="",L223=""),"",K223*L223)</x:f>
      </x:c>
      <x:c r="N223" s="108" t="str">
        <x:f>IF(I223="","Single",IF(LEFT(I223,2)="2x","Double","Single"))</x:f>
        <x:v>Single</x:v>
      </x:c>
      <x:c r="O223" s="109" t="n">
        <x:f>IF(N223="","",IF(N223="Double",Summary!$B$37,Summary!$B$36))</x:f>
        <x:v>5</x:v>
      </x:c>
      <x:c r="P223" s="109" t="str">
        <x:f>IF(K223="","",K223+O223)</x:f>
      </x:c>
      <x:c r="Q223" s="111" t="str">
        <x:f>IF(P223="","",P223*Summary!$B$35)</x:f>
      </x:c>
      <x:c r="R223" s="112" t="n">
        <x:f>IF(N223="","",IF(N223="Double",Summary!$B$39,Summary!$B$38))</x:f>
        <x:v>1.6</x:v>
      </x:c>
      <x:c r="S223" s="113" t="str">
        <x:f>IF(Q223="","",Q223*R223)</x:f>
      </x:c>
    </x:row>
    <x:row r="224">
      <x:c r="A224" s="107"/>
      <x:c r="B224" s="108"/>
      <x:c r="C224" s="108"/>
      <x:c r="D224" s="108"/>
      <x:c r="E224" s="108"/>
      <x:c r="F224" s="108"/>
      <x:c r="G224" s="108"/>
      <x:c r="H224" s="108"/>
      <x:c r="I224" s="108"/>
      <x:c r="J224" s="108"/>
      <x:c r="K224" s="109"/>
      <x:c r="L224" s="110"/>
      <x:c r="M224" s="109" t="str">
        <x:f>IF(OR(K224="",L224=""),"",K224*L224)</x:f>
      </x:c>
      <x:c r="N224" s="108" t="str">
        <x:f>IF(I224="","Single",IF(LEFT(I224,2)="2x","Double","Single"))</x:f>
        <x:v>Single</x:v>
      </x:c>
      <x:c r="O224" s="109" t="n">
        <x:f>IF(N224="","",IF(N224="Double",Summary!$B$37,Summary!$B$36))</x:f>
        <x:v>5</x:v>
      </x:c>
      <x:c r="P224" s="109" t="str">
        <x:f>IF(K224="","",K224+O224)</x:f>
      </x:c>
      <x:c r="Q224" s="111" t="str">
        <x:f>IF(P224="","",P224*Summary!$B$35)</x:f>
      </x:c>
      <x:c r="R224" s="112" t="n">
        <x:f>IF(N224="","",IF(N224="Double",Summary!$B$39,Summary!$B$38))</x:f>
        <x:v>1.6</x:v>
      </x:c>
      <x:c r="S224" s="113" t="str">
        <x:f>IF(Q224="","",Q224*R224)</x:f>
      </x:c>
    </x:row>
    <x:row r="225">
      <x:c r="A225" s="107"/>
      <x:c r="B225" s="108"/>
      <x:c r="C225" s="108"/>
      <x:c r="D225" s="108"/>
      <x:c r="E225" s="108"/>
      <x:c r="F225" s="108"/>
      <x:c r="G225" s="108"/>
      <x:c r="H225" s="108"/>
      <x:c r="I225" s="108"/>
      <x:c r="J225" s="108"/>
      <x:c r="K225" s="109"/>
      <x:c r="L225" s="110"/>
      <x:c r="M225" s="109" t="str">
        <x:f>IF(OR(K225="",L225=""),"",K225*L225)</x:f>
      </x:c>
      <x:c r="N225" s="108" t="str">
        <x:f>IF(I225="","Single",IF(LEFT(I225,2)="2x","Double","Single"))</x:f>
        <x:v>Single</x:v>
      </x:c>
      <x:c r="O225" s="109" t="n">
        <x:f>IF(N225="","",IF(N225="Double",Summary!$B$37,Summary!$B$36))</x:f>
        <x:v>5</x:v>
      </x:c>
      <x:c r="P225" s="109" t="str">
        <x:f>IF(K225="","",K225+O225)</x:f>
      </x:c>
      <x:c r="Q225" s="111" t="str">
        <x:f>IF(P225="","",P225*Summary!$B$35)</x:f>
      </x:c>
      <x:c r="R225" s="112" t="n">
        <x:f>IF(N225="","",IF(N225="Double",Summary!$B$39,Summary!$B$38))</x:f>
        <x:v>1.6</x:v>
      </x:c>
      <x:c r="S225" s="113" t="str">
        <x:f>IF(Q225="","",Q225*R225)</x:f>
      </x:c>
    </x:row>
    <x:row r="226">
      <x:c r="A226" s="107"/>
      <x:c r="B226" s="108"/>
      <x:c r="C226" s="108"/>
      <x:c r="D226" s="108"/>
      <x:c r="E226" s="108"/>
      <x:c r="F226" s="108"/>
      <x:c r="G226" s="108"/>
      <x:c r="H226" s="108"/>
      <x:c r="I226" s="108"/>
      <x:c r="J226" s="108"/>
      <x:c r="K226" s="109"/>
      <x:c r="L226" s="110"/>
      <x:c r="M226" s="109" t="str">
        <x:f>IF(OR(K226="",L226=""),"",K226*L226)</x:f>
      </x:c>
      <x:c r="N226" s="108" t="str">
        <x:f>IF(I226="","Single",IF(LEFT(I226,2)="2x","Double","Single"))</x:f>
        <x:v>Single</x:v>
      </x:c>
      <x:c r="O226" s="109" t="n">
        <x:f>IF(N226="","",IF(N226="Double",Summary!$B$37,Summary!$B$36))</x:f>
        <x:v>5</x:v>
      </x:c>
      <x:c r="P226" s="109" t="str">
        <x:f>IF(K226="","",K226+O226)</x:f>
      </x:c>
      <x:c r="Q226" s="111" t="str">
        <x:f>IF(P226="","",P226*Summary!$B$35)</x:f>
      </x:c>
      <x:c r="R226" s="112" t="n">
        <x:f>IF(N226="","",IF(N226="Double",Summary!$B$39,Summary!$B$38))</x:f>
        <x:v>1.6</x:v>
      </x:c>
      <x:c r="S226" s="113" t="str">
        <x:f>IF(Q226="","",Q226*R226)</x:f>
      </x:c>
    </x:row>
    <x:row r="227">
      <x:c r="A227" s="107"/>
      <x:c r="B227" s="108"/>
      <x:c r="C227" s="108"/>
      <x:c r="D227" s="108"/>
      <x:c r="E227" s="108"/>
      <x:c r="F227" s="108"/>
      <x:c r="G227" s="108"/>
      <x:c r="H227" s="108"/>
      <x:c r="I227" s="108"/>
      <x:c r="J227" s="108"/>
      <x:c r="K227" s="109"/>
      <x:c r="L227" s="110"/>
      <x:c r="M227" s="109" t="str">
        <x:f>IF(OR(K227="",L227=""),"",K227*L227)</x:f>
      </x:c>
      <x:c r="N227" s="108" t="str">
        <x:f>IF(I227="","Single",IF(LEFT(I227,2)="2x","Double","Single"))</x:f>
        <x:v>Single</x:v>
      </x:c>
      <x:c r="O227" s="109" t="n">
        <x:f>IF(N227="","",IF(N227="Double",Summary!$B$37,Summary!$B$36))</x:f>
        <x:v>5</x:v>
      </x:c>
      <x:c r="P227" s="109" t="str">
        <x:f>IF(K227="","",K227+O227)</x:f>
      </x:c>
      <x:c r="Q227" s="111" t="str">
        <x:f>IF(P227="","",P227*Summary!$B$35)</x:f>
      </x:c>
      <x:c r="R227" s="112" t="n">
        <x:f>IF(N227="","",IF(N227="Double",Summary!$B$39,Summary!$B$38))</x:f>
        <x:v>1.6</x:v>
      </x:c>
      <x:c r="S227" s="113" t="str">
        <x:f>IF(Q227="","",Q227*R227)</x:f>
      </x:c>
    </x:row>
    <x:row r="228">
      <x:c r="A228" s="107"/>
      <x:c r="B228" s="108"/>
      <x:c r="C228" s="108"/>
      <x:c r="D228" s="108"/>
      <x:c r="E228" s="108"/>
      <x:c r="F228" s="108"/>
      <x:c r="G228" s="108"/>
      <x:c r="H228" s="108"/>
      <x:c r="I228" s="108"/>
      <x:c r="J228" s="108"/>
      <x:c r="K228" s="109"/>
      <x:c r="L228" s="110"/>
      <x:c r="M228" s="109" t="str">
        <x:f>IF(OR(K228="",L228=""),"",K228*L228)</x:f>
      </x:c>
      <x:c r="N228" s="108" t="str">
        <x:f>IF(I228="","Single",IF(LEFT(I228,2)="2x","Double","Single"))</x:f>
        <x:v>Single</x:v>
      </x:c>
      <x:c r="O228" s="109" t="n">
        <x:f>IF(N228="","",IF(N228="Double",Summary!$B$37,Summary!$B$36))</x:f>
        <x:v>5</x:v>
      </x:c>
      <x:c r="P228" s="109" t="str">
        <x:f>IF(K228="","",K228+O228)</x:f>
      </x:c>
      <x:c r="Q228" s="111" t="str">
        <x:f>IF(P228="","",P228*Summary!$B$35)</x:f>
      </x:c>
      <x:c r="R228" s="112" t="n">
        <x:f>IF(N228="","",IF(N228="Double",Summary!$B$39,Summary!$B$38))</x:f>
        <x:v>1.6</x:v>
      </x:c>
      <x:c r="S228" s="113" t="str">
        <x:f>IF(Q228="","",Q228*R228)</x:f>
      </x:c>
    </x:row>
    <x:row r="229">
      <x:c r="A229" s="107"/>
      <x:c r="B229" s="108"/>
      <x:c r="C229" s="108"/>
      <x:c r="D229" s="108"/>
      <x:c r="E229" s="108"/>
      <x:c r="F229" s="108"/>
      <x:c r="G229" s="108"/>
      <x:c r="H229" s="108"/>
      <x:c r="I229" s="108"/>
      <x:c r="J229" s="108"/>
      <x:c r="K229" s="109"/>
      <x:c r="L229" s="110"/>
      <x:c r="M229" s="109" t="str">
        <x:f>IF(OR(K229="",L229=""),"",K229*L229)</x:f>
      </x:c>
      <x:c r="N229" s="108" t="str">
        <x:f>IF(I229="","Single",IF(LEFT(I229,2)="2x","Double","Single"))</x:f>
        <x:v>Single</x:v>
      </x:c>
      <x:c r="O229" s="109" t="n">
        <x:f>IF(N229="","",IF(N229="Double",Summary!$B$37,Summary!$B$36))</x:f>
        <x:v>5</x:v>
      </x:c>
      <x:c r="P229" s="109" t="str">
        <x:f>IF(K229="","",K229+O229)</x:f>
      </x:c>
      <x:c r="Q229" s="111" t="str">
        <x:f>IF(P229="","",P229*Summary!$B$35)</x:f>
      </x:c>
      <x:c r="R229" s="112" t="n">
        <x:f>IF(N229="","",IF(N229="Double",Summary!$B$39,Summary!$B$38))</x:f>
        <x:v>1.6</x:v>
      </x:c>
      <x:c r="S229" s="113" t="str">
        <x:f>IF(Q229="","",Q229*R229)</x:f>
      </x:c>
    </x:row>
    <x:row r="230">
      <x:c r="A230" s="107"/>
      <x:c r="B230" s="108"/>
      <x:c r="C230" s="108"/>
      <x:c r="D230" s="108"/>
      <x:c r="E230" s="108"/>
      <x:c r="F230" s="108"/>
      <x:c r="G230" s="108"/>
      <x:c r="H230" s="108"/>
      <x:c r="I230" s="108"/>
      <x:c r="J230" s="108"/>
      <x:c r="K230" s="109"/>
      <x:c r="L230" s="110"/>
      <x:c r="M230" s="109" t="str">
        <x:f>IF(OR(K230="",L230=""),"",K230*L230)</x:f>
      </x:c>
      <x:c r="N230" s="108" t="str">
        <x:f>IF(I230="","Single",IF(LEFT(I230,2)="2x","Double","Single"))</x:f>
        <x:v>Single</x:v>
      </x:c>
      <x:c r="O230" s="109" t="n">
        <x:f>IF(N230="","",IF(N230="Double",Summary!$B$37,Summary!$B$36))</x:f>
        <x:v>5</x:v>
      </x:c>
      <x:c r="P230" s="109" t="str">
        <x:f>IF(K230="","",K230+O230)</x:f>
      </x:c>
      <x:c r="Q230" s="111" t="str">
        <x:f>IF(P230="","",P230*Summary!$B$35)</x:f>
      </x:c>
      <x:c r="R230" s="112" t="n">
        <x:f>IF(N230="","",IF(N230="Double",Summary!$B$39,Summary!$B$38))</x:f>
        <x:v>1.6</x:v>
      </x:c>
      <x:c r="S230" s="113" t="str">
        <x:f>IF(Q230="","",Q230*R230)</x:f>
      </x:c>
    </x:row>
    <x:row r="231">
      <x:c r="A231" s="107"/>
      <x:c r="B231" s="108"/>
      <x:c r="C231" s="108"/>
      <x:c r="D231" s="108"/>
      <x:c r="E231" s="108"/>
      <x:c r="F231" s="108"/>
      <x:c r="G231" s="108"/>
      <x:c r="H231" s="108"/>
      <x:c r="I231" s="108"/>
      <x:c r="J231" s="108"/>
      <x:c r="K231" s="109"/>
      <x:c r="L231" s="110"/>
      <x:c r="M231" s="109" t="str">
        <x:f>IF(OR(K231="",L231=""),"",K231*L231)</x:f>
      </x:c>
      <x:c r="N231" s="108" t="str">
        <x:f>IF(I231="","Single",IF(LEFT(I231,2)="2x","Double","Single"))</x:f>
        <x:v>Single</x:v>
      </x:c>
      <x:c r="O231" s="109" t="n">
        <x:f>IF(N231="","",IF(N231="Double",Summary!$B$37,Summary!$B$36))</x:f>
        <x:v>5</x:v>
      </x:c>
      <x:c r="P231" s="109" t="str">
        <x:f>IF(K231="","",K231+O231)</x:f>
      </x:c>
      <x:c r="Q231" s="111" t="str">
        <x:f>IF(P231="","",P231*Summary!$B$35)</x:f>
      </x:c>
      <x:c r="R231" s="112" t="n">
        <x:f>IF(N231="","",IF(N231="Double",Summary!$B$39,Summary!$B$38))</x:f>
        <x:v>1.6</x:v>
      </x:c>
      <x:c r="S231" s="113" t="str">
        <x:f>IF(Q231="","",Q231*R231)</x:f>
      </x:c>
    </x:row>
    <x:row r="232">
      <x:c r="A232" s="107"/>
      <x:c r="B232" s="108"/>
      <x:c r="C232" s="108"/>
      <x:c r="D232" s="108"/>
      <x:c r="E232" s="108"/>
      <x:c r="F232" s="108"/>
      <x:c r="G232" s="108"/>
      <x:c r="H232" s="108"/>
      <x:c r="I232" s="108"/>
      <x:c r="J232" s="108"/>
      <x:c r="K232" s="109"/>
      <x:c r="L232" s="110"/>
      <x:c r="M232" s="109" t="str">
        <x:f>IF(OR(K232="",L232=""),"",K232*L232)</x:f>
      </x:c>
      <x:c r="N232" s="108" t="str">
        <x:f>IF(I232="","Single",IF(LEFT(I232,2)="2x","Double","Single"))</x:f>
        <x:v>Single</x:v>
      </x:c>
      <x:c r="O232" s="109" t="n">
        <x:f>IF(N232="","",IF(N232="Double",Summary!$B$37,Summary!$B$36))</x:f>
        <x:v>5</x:v>
      </x:c>
      <x:c r="P232" s="109" t="str">
        <x:f>IF(K232="","",K232+O232)</x:f>
      </x:c>
      <x:c r="Q232" s="111" t="str">
        <x:f>IF(P232="","",P232*Summary!$B$35)</x:f>
      </x:c>
      <x:c r="R232" s="112" t="n">
        <x:f>IF(N232="","",IF(N232="Double",Summary!$B$39,Summary!$B$38))</x:f>
        <x:v>1.6</x:v>
      </x:c>
      <x:c r="S232" s="113" t="str">
        <x:f>IF(Q232="","",Q232*R232)</x:f>
      </x:c>
    </x:row>
    <x:row r="233">
      <x:c r="A233" s="107"/>
      <x:c r="B233" s="108"/>
      <x:c r="C233" s="108"/>
      <x:c r="D233" s="108"/>
      <x:c r="E233" s="108"/>
      <x:c r="F233" s="108"/>
      <x:c r="G233" s="108"/>
      <x:c r="H233" s="108"/>
      <x:c r="I233" s="108"/>
      <x:c r="J233" s="108"/>
      <x:c r="K233" s="109"/>
      <x:c r="L233" s="110"/>
      <x:c r="M233" s="109" t="str">
        <x:f>IF(OR(K233="",L233=""),"",K233*L233)</x:f>
      </x:c>
      <x:c r="N233" s="108" t="str">
        <x:f>IF(I233="","Single",IF(LEFT(I233,2)="2x","Double","Single"))</x:f>
        <x:v>Single</x:v>
      </x:c>
      <x:c r="O233" s="109" t="n">
        <x:f>IF(N233="","",IF(N233="Double",Summary!$B$37,Summary!$B$36))</x:f>
        <x:v>5</x:v>
      </x:c>
      <x:c r="P233" s="109" t="str">
        <x:f>IF(K233="","",K233+O233)</x:f>
      </x:c>
      <x:c r="Q233" s="111" t="str">
        <x:f>IF(P233="","",P233*Summary!$B$35)</x:f>
      </x:c>
      <x:c r="R233" s="112" t="n">
        <x:f>IF(N233="","",IF(N233="Double",Summary!$B$39,Summary!$B$38))</x:f>
        <x:v>1.6</x:v>
      </x:c>
      <x:c r="S233" s="113" t="str">
        <x:f>IF(Q233="","",Q233*R233)</x:f>
      </x:c>
    </x:row>
    <x:row r="234">
      <x:c r="A234" s="107"/>
      <x:c r="B234" s="108"/>
      <x:c r="C234" s="108"/>
      <x:c r="D234" s="108"/>
      <x:c r="E234" s="108"/>
      <x:c r="F234" s="108"/>
      <x:c r="G234" s="108"/>
      <x:c r="H234" s="108"/>
      <x:c r="I234" s="108"/>
      <x:c r="J234" s="108"/>
      <x:c r="K234" s="109"/>
      <x:c r="L234" s="110"/>
      <x:c r="M234" s="109" t="str">
        <x:f>IF(OR(K234="",L234=""),"",K234*L234)</x:f>
      </x:c>
      <x:c r="N234" s="108" t="str">
        <x:f>IF(I234="","Single",IF(LEFT(I234,2)="2x","Double","Single"))</x:f>
        <x:v>Single</x:v>
      </x:c>
      <x:c r="O234" s="109" t="n">
        <x:f>IF(N234="","",IF(N234="Double",Summary!$B$37,Summary!$B$36))</x:f>
        <x:v>5</x:v>
      </x:c>
      <x:c r="P234" s="109" t="str">
        <x:f>IF(K234="","",K234+O234)</x:f>
      </x:c>
      <x:c r="Q234" s="111" t="str">
        <x:f>IF(P234="","",P234*Summary!$B$35)</x:f>
      </x:c>
      <x:c r="R234" s="112" t="n">
        <x:f>IF(N234="","",IF(N234="Double",Summary!$B$39,Summary!$B$38))</x:f>
        <x:v>1.6</x:v>
      </x:c>
      <x:c r="S234" s="113" t="str">
        <x:f>IF(Q234="","",Q234*R234)</x:f>
      </x:c>
    </x:row>
    <x:row r="235">
      <x:c r="A235" s="107"/>
      <x:c r="B235" s="108"/>
      <x:c r="C235" s="108"/>
      <x:c r="D235" s="108"/>
      <x:c r="E235" s="108"/>
      <x:c r="F235" s="108"/>
      <x:c r="G235" s="108"/>
      <x:c r="H235" s="108"/>
      <x:c r="I235" s="108"/>
      <x:c r="J235" s="108"/>
      <x:c r="K235" s="109"/>
      <x:c r="L235" s="110"/>
      <x:c r="M235" s="109" t="str">
        <x:f>IF(OR(K235="",L235=""),"",K235*L235)</x:f>
      </x:c>
      <x:c r="N235" s="108" t="str">
        <x:f>IF(I235="","Single",IF(LEFT(I235,2)="2x","Double","Single"))</x:f>
        <x:v>Single</x:v>
      </x:c>
      <x:c r="O235" s="109" t="n">
        <x:f>IF(N235="","",IF(N235="Double",Summary!$B$37,Summary!$B$36))</x:f>
        <x:v>5</x:v>
      </x:c>
      <x:c r="P235" s="109" t="str">
        <x:f>IF(K235="","",K235+O235)</x:f>
      </x:c>
      <x:c r="Q235" s="111" t="str">
        <x:f>IF(P235="","",P235*Summary!$B$35)</x:f>
      </x:c>
      <x:c r="R235" s="112" t="n">
        <x:f>IF(N235="","",IF(N235="Double",Summary!$B$39,Summary!$B$38))</x:f>
        <x:v>1.6</x:v>
      </x:c>
      <x:c r="S235" s="113" t="str">
        <x:f>IF(Q235="","",Q235*R235)</x:f>
      </x:c>
    </x:row>
    <x:row r="236">
      <x:c r="A236" s="107"/>
      <x:c r="B236" s="108"/>
      <x:c r="C236" s="108"/>
      <x:c r="D236" s="108"/>
      <x:c r="E236" s="108"/>
      <x:c r="F236" s="108"/>
      <x:c r="G236" s="108"/>
      <x:c r="H236" s="108"/>
      <x:c r="I236" s="108"/>
      <x:c r="J236" s="108"/>
      <x:c r="K236" s="109"/>
      <x:c r="L236" s="110"/>
      <x:c r="M236" s="109" t="str">
        <x:f>IF(OR(K236="",L236=""),"",K236*L236)</x:f>
      </x:c>
      <x:c r="N236" s="108" t="str">
        <x:f>IF(I236="","Single",IF(LEFT(I236,2)="2x","Double","Single"))</x:f>
        <x:v>Single</x:v>
      </x:c>
      <x:c r="O236" s="109" t="n">
        <x:f>IF(N236="","",IF(N236="Double",Summary!$B$37,Summary!$B$36))</x:f>
        <x:v>5</x:v>
      </x:c>
      <x:c r="P236" s="109" t="str">
        <x:f>IF(K236="","",K236+O236)</x:f>
      </x:c>
      <x:c r="Q236" s="111" t="str">
        <x:f>IF(P236="","",P236*Summary!$B$35)</x:f>
      </x:c>
      <x:c r="R236" s="112" t="n">
        <x:f>IF(N236="","",IF(N236="Double",Summary!$B$39,Summary!$B$38))</x:f>
        <x:v>1.6</x:v>
      </x:c>
      <x:c r="S236" s="113" t="str">
        <x:f>IF(Q236="","",Q236*R236)</x:f>
      </x:c>
    </x:row>
    <x:row r="237">
      <x:c r="A237" s="107"/>
      <x:c r="B237" s="108"/>
      <x:c r="C237" s="108"/>
      <x:c r="D237" s="108"/>
      <x:c r="E237" s="108"/>
      <x:c r="F237" s="108"/>
      <x:c r="G237" s="108"/>
      <x:c r="H237" s="108"/>
      <x:c r="I237" s="108"/>
      <x:c r="J237" s="108"/>
      <x:c r="K237" s="109"/>
      <x:c r="L237" s="110"/>
      <x:c r="M237" s="109" t="str">
        <x:f>IF(OR(K237="",L237=""),"",K237*L237)</x:f>
      </x:c>
      <x:c r="N237" s="108" t="str">
        <x:f>IF(I237="","Single",IF(LEFT(I237,2)="2x","Double","Single"))</x:f>
        <x:v>Single</x:v>
      </x:c>
      <x:c r="O237" s="109" t="n">
        <x:f>IF(N237="","",IF(N237="Double",Summary!$B$37,Summary!$B$36))</x:f>
        <x:v>5</x:v>
      </x:c>
      <x:c r="P237" s="109" t="str">
        <x:f>IF(K237="","",K237+O237)</x:f>
      </x:c>
      <x:c r="Q237" s="111" t="str">
        <x:f>IF(P237="","",P237*Summary!$B$35)</x:f>
      </x:c>
      <x:c r="R237" s="112" t="n">
        <x:f>IF(N237="","",IF(N237="Double",Summary!$B$39,Summary!$B$38))</x:f>
        <x:v>1.6</x:v>
      </x:c>
      <x:c r="S237" s="113" t="str">
        <x:f>IF(Q237="","",Q237*R237)</x:f>
      </x:c>
    </x:row>
    <x:row r="238">
      <x:c r="A238" s="107"/>
      <x:c r="B238" s="108"/>
      <x:c r="C238" s="108"/>
      <x:c r="D238" s="108"/>
      <x:c r="E238" s="108"/>
      <x:c r="F238" s="108"/>
      <x:c r="G238" s="108"/>
      <x:c r="H238" s="108"/>
      <x:c r="I238" s="108"/>
      <x:c r="J238" s="108"/>
      <x:c r="K238" s="109"/>
      <x:c r="L238" s="110"/>
      <x:c r="M238" s="109" t="str">
        <x:f>IF(OR(K238="",L238=""),"",K238*L238)</x:f>
      </x:c>
      <x:c r="N238" s="108" t="str">
        <x:f>IF(I238="","Single",IF(LEFT(I238,2)="2x","Double","Single"))</x:f>
        <x:v>Single</x:v>
      </x:c>
      <x:c r="O238" s="109" t="n">
        <x:f>IF(N238="","",IF(N238="Double",Summary!$B$37,Summary!$B$36))</x:f>
        <x:v>5</x:v>
      </x:c>
      <x:c r="P238" s="109" t="str">
        <x:f>IF(K238="","",K238+O238)</x:f>
      </x:c>
      <x:c r="Q238" s="111" t="str">
        <x:f>IF(P238="","",P238*Summary!$B$35)</x:f>
      </x:c>
      <x:c r="R238" s="112" t="n">
        <x:f>IF(N238="","",IF(N238="Double",Summary!$B$39,Summary!$B$38))</x:f>
        <x:v>1.6</x:v>
      </x:c>
      <x:c r="S238" s="113" t="str">
        <x:f>IF(Q238="","",Q238*R238)</x:f>
      </x:c>
    </x:row>
    <x:row r="239">
      <x:c r="A239" s="107"/>
      <x:c r="B239" s="108"/>
      <x:c r="C239" s="108"/>
      <x:c r="D239" s="108"/>
      <x:c r="E239" s="108"/>
      <x:c r="F239" s="108"/>
      <x:c r="G239" s="108"/>
      <x:c r="H239" s="108"/>
      <x:c r="I239" s="108"/>
      <x:c r="J239" s="108"/>
      <x:c r="K239" s="109"/>
      <x:c r="L239" s="110"/>
      <x:c r="M239" s="109" t="str">
        <x:f>IF(OR(K239="",L239=""),"",K239*L239)</x:f>
      </x:c>
      <x:c r="N239" s="108" t="str">
        <x:f>IF(I239="","Single",IF(LEFT(I239,2)="2x","Double","Single"))</x:f>
        <x:v>Single</x:v>
      </x:c>
      <x:c r="O239" s="109" t="n">
        <x:f>IF(N239="","",IF(N239="Double",Summary!$B$37,Summary!$B$36))</x:f>
        <x:v>5</x:v>
      </x:c>
      <x:c r="P239" s="109" t="str">
        <x:f>IF(K239="","",K239+O239)</x:f>
      </x:c>
      <x:c r="Q239" s="111" t="str">
        <x:f>IF(P239="","",P239*Summary!$B$35)</x:f>
      </x:c>
      <x:c r="R239" s="112" t="n">
        <x:f>IF(N239="","",IF(N239="Double",Summary!$B$39,Summary!$B$38))</x:f>
        <x:v>1.6</x:v>
      </x:c>
      <x:c r="S239" s="113" t="str">
        <x:f>IF(Q239="","",Q239*R239)</x:f>
      </x:c>
    </x:row>
    <x:row r="240">
      <x:c r="A240" s="107"/>
      <x:c r="B240" s="108"/>
      <x:c r="C240" s="108"/>
      <x:c r="D240" s="108"/>
      <x:c r="E240" s="108"/>
      <x:c r="F240" s="108"/>
      <x:c r="G240" s="108"/>
      <x:c r="H240" s="108"/>
      <x:c r="I240" s="108"/>
      <x:c r="J240" s="108"/>
      <x:c r="K240" s="109"/>
      <x:c r="L240" s="110"/>
      <x:c r="M240" s="109" t="str">
        <x:f>IF(OR(K240="",L240=""),"",K240*L240)</x:f>
      </x:c>
      <x:c r="N240" s="108" t="str">
        <x:f>IF(I240="","Single",IF(LEFT(I240,2)="2x","Double","Single"))</x:f>
        <x:v>Single</x:v>
      </x:c>
      <x:c r="O240" s="109" t="n">
        <x:f>IF(N240="","",IF(N240="Double",Summary!$B$37,Summary!$B$36))</x:f>
        <x:v>5</x:v>
      </x:c>
      <x:c r="P240" s="109" t="str">
        <x:f>IF(K240="","",K240+O240)</x:f>
      </x:c>
      <x:c r="Q240" s="111" t="str">
        <x:f>IF(P240="","",P240*Summary!$B$35)</x:f>
      </x:c>
      <x:c r="R240" s="112" t="n">
        <x:f>IF(N240="","",IF(N240="Double",Summary!$B$39,Summary!$B$38))</x:f>
        <x:v>1.6</x:v>
      </x:c>
      <x:c r="S240" s="113" t="str">
        <x:f>IF(Q240="","",Q240*R240)</x:f>
      </x:c>
    </x:row>
    <x:row r="241">
      <x:c r="A241" s="107"/>
      <x:c r="B241" s="108"/>
      <x:c r="C241" s="108"/>
      <x:c r="D241" s="108"/>
      <x:c r="E241" s="108"/>
      <x:c r="F241" s="108"/>
      <x:c r="G241" s="108"/>
      <x:c r="H241" s="108"/>
      <x:c r="I241" s="108"/>
      <x:c r="J241" s="108"/>
      <x:c r="K241" s="109"/>
      <x:c r="L241" s="110"/>
      <x:c r="M241" s="109" t="str">
        <x:f>IF(OR(K241="",L241=""),"",K241*L241)</x:f>
      </x:c>
      <x:c r="N241" s="108" t="str">
        <x:f>IF(I241="","Single",IF(LEFT(I241,2)="2x","Double","Single"))</x:f>
        <x:v>Single</x:v>
      </x:c>
      <x:c r="O241" s="109" t="n">
        <x:f>IF(N241="","",IF(N241="Double",Summary!$B$37,Summary!$B$36))</x:f>
        <x:v>5</x:v>
      </x:c>
      <x:c r="P241" s="109" t="str">
        <x:f>IF(K241="","",K241+O241)</x:f>
      </x:c>
      <x:c r="Q241" s="111" t="str">
        <x:f>IF(P241="","",P241*Summary!$B$35)</x:f>
      </x:c>
      <x:c r="R241" s="112" t="n">
        <x:f>IF(N241="","",IF(N241="Double",Summary!$B$39,Summary!$B$38))</x:f>
        <x:v>1.6</x:v>
      </x:c>
      <x:c r="S241" s="113" t="str">
        <x:f>IF(Q241="","",Q241*R241)</x:f>
      </x:c>
    </x:row>
    <x:row r="242">
      <x:c r="A242" s="107"/>
      <x:c r="B242" s="108"/>
      <x:c r="C242" s="108"/>
      <x:c r="D242" s="108"/>
      <x:c r="E242" s="108"/>
      <x:c r="F242" s="108"/>
      <x:c r="G242" s="108"/>
      <x:c r="H242" s="108"/>
      <x:c r="I242" s="108"/>
      <x:c r="J242" s="108"/>
      <x:c r="K242" s="109"/>
      <x:c r="L242" s="110"/>
      <x:c r="M242" s="109" t="str">
        <x:f>IF(OR(K242="",L242=""),"",K242*L242)</x:f>
      </x:c>
      <x:c r="N242" s="108" t="str">
        <x:f>IF(I242="","Single",IF(LEFT(I242,2)="2x","Double","Single"))</x:f>
        <x:v>Single</x:v>
      </x:c>
      <x:c r="O242" s="109" t="n">
        <x:f>IF(N242="","",IF(N242="Double",Summary!$B$37,Summary!$B$36))</x:f>
        <x:v>5</x:v>
      </x:c>
      <x:c r="P242" s="109" t="str">
        <x:f>IF(K242="","",K242+O242)</x:f>
      </x:c>
      <x:c r="Q242" s="111" t="str">
        <x:f>IF(P242="","",P242*Summary!$B$35)</x:f>
      </x:c>
      <x:c r="R242" s="112" t="n">
        <x:f>IF(N242="","",IF(N242="Double",Summary!$B$39,Summary!$B$38))</x:f>
        <x:v>1.6</x:v>
      </x:c>
      <x:c r="S242" s="113" t="str">
        <x:f>IF(Q242="","",Q242*R242)</x:f>
      </x:c>
    </x:row>
    <x:row r="243">
      <x:c r="A243" s="107"/>
      <x:c r="B243" s="108"/>
      <x:c r="C243" s="108"/>
      <x:c r="D243" s="108"/>
      <x:c r="E243" s="108"/>
      <x:c r="F243" s="108"/>
      <x:c r="G243" s="108"/>
      <x:c r="H243" s="108"/>
      <x:c r="I243" s="108"/>
      <x:c r="J243" s="108"/>
      <x:c r="K243" s="109"/>
      <x:c r="L243" s="110"/>
      <x:c r="M243" s="109" t="str">
        <x:f>IF(OR(K243="",L243=""),"",K243*L243)</x:f>
      </x:c>
      <x:c r="N243" s="108" t="str">
        <x:f>IF(I243="","Single",IF(LEFT(I243,2)="2x","Double","Single"))</x:f>
        <x:v>Single</x:v>
      </x:c>
      <x:c r="O243" s="109" t="n">
        <x:f>IF(N243="","",IF(N243="Double",Summary!$B$37,Summary!$B$36))</x:f>
        <x:v>5</x:v>
      </x:c>
      <x:c r="P243" s="109" t="str">
        <x:f>IF(K243="","",K243+O243)</x:f>
      </x:c>
      <x:c r="Q243" s="111" t="str">
        <x:f>IF(P243="","",P243*Summary!$B$35)</x:f>
      </x:c>
      <x:c r="R243" s="112" t="n">
        <x:f>IF(N243="","",IF(N243="Double",Summary!$B$39,Summary!$B$38))</x:f>
        <x:v>1.6</x:v>
      </x:c>
      <x:c r="S243" s="113" t="str">
        <x:f>IF(Q243="","",Q243*R243)</x:f>
      </x:c>
    </x:row>
    <x:row r="244">
      <x:c r="A244" s="107"/>
      <x:c r="B244" s="108"/>
      <x:c r="C244" s="108"/>
      <x:c r="D244" s="108"/>
      <x:c r="E244" s="108"/>
      <x:c r="F244" s="108"/>
      <x:c r="G244" s="108"/>
      <x:c r="H244" s="108"/>
      <x:c r="I244" s="108"/>
      <x:c r="J244" s="108"/>
      <x:c r="K244" s="109"/>
      <x:c r="L244" s="110"/>
      <x:c r="M244" s="109" t="str">
        <x:f>IF(OR(K244="",L244=""),"",K244*L244)</x:f>
      </x:c>
      <x:c r="N244" s="108" t="str">
        <x:f>IF(I244="","Single",IF(LEFT(I244,2)="2x","Double","Single"))</x:f>
        <x:v>Single</x:v>
      </x:c>
      <x:c r="O244" s="109" t="n">
        <x:f>IF(N244="","",IF(N244="Double",Summary!$B$37,Summary!$B$36))</x:f>
        <x:v>5</x:v>
      </x:c>
      <x:c r="P244" s="109" t="str">
        <x:f>IF(K244="","",K244+O244)</x:f>
      </x:c>
      <x:c r="Q244" s="111" t="str">
        <x:f>IF(P244="","",P244*Summary!$B$35)</x:f>
      </x:c>
      <x:c r="R244" s="112" t="n">
        <x:f>IF(N244="","",IF(N244="Double",Summary!$B$39,Summary!$B$38))</x:f>
        <x:v>1.6</x:v>
      </x:c>
      <x:c r="S244" s="113" t="str">
        <x:f>IF(Q244="","",Q244*R244)</x:f>
      </x:c>
    </x:row>
    <x:row r="245">
      <x:c r="A245" s="107"/>
      <x:c r="B245" s="108"/>
      <x:c r="C245" s="108"/>
      <x:c r="D245" s="108"/>
      <x:c r="E245" s="108"/>
      <x:c r="F245" s="108"/>
      <x:c r="G245" s="108"/>
      <x:c r="H245" s="108"/>
      <x:c r="I245" s="108"/>
      <x:c r="J245" s="108"/>
      <x:c r="K245" s="109"/>
      <x:c r="L245" s="110"/>
      <x:c r="M245" s="109" t="str">
        <x:f>IF(OR(K245="",L245=""),"",K245*L245)</x:f>
      </x:c>
      <x:c r="N245" s="108" t="str">
        <x:f>IF(I245="","Single",IF(LEFT(I245,2)="2x","Double","Single"))</x:f>
        <x:v>Single</x:v>
      </x:c>
      <x:c r="O245" s="109" t="n">
        <x:f>IF(N245="","",IF(N245="Double",Summary!$B$37,Summary!$B$36))</x:f>
        <x:v>5</x:v>
      </x:c>
      <x:c r="P245" s="109" t="str">
        <x:f>IF(K245="","",K245+O245)</x:f>
      </x:c>
      <x:c r="Q245" s="111" t="str">
        <x:f>IF(P245="","",P245*Summary!$B$35)</x:f>
      </x:c>
      <x:c r="R245" s="112" t="n">
        <x:f>IF(N245="","",IF(N245="Double",Summary!$B$39,Summary!$B$38))</x:f>
        <x:v>1.6</x:v>
      </x:c>
      <x:c r="S245" s="113" t="str">
        <x:f>IF(Q245="","",Q245*R245)</x:f>
      </x:c>
    </x:row>
    <x:row r="246">
      <x:c r="A246" s="107"/>
      <x:c r="B246" s="108"/>
      <x:c r="C246" s="108"/>
      <x:c r="D246" s="108"/>
      <x:c r="E246" s="108"/>
      <x:c r="F246" s="108"/>
      <x:c r="G246" s="108"/>
      <x:c r="H246" s="108"/>
      <x:c r="I246" s="108"/>
      <x:c r="J246" s="108"/>
      <x:c r="K246" s="109"/>
      <x:c r="L246" s="110"/>
      <x:c r="M246" s="109" t="str">
        <x:f>IF(OR(K246="",L246=""),"",K246*L246)</x:f>
      </x:c>
      <x:c r="N246" s="108" t="str">
        <x:f>IF(I246="","Single",IF(LEFT(I246,2)="2x","Double","Single"))</x:f>
        <x:v>Single</x:v>
      </x:c>
      <x:c r="O246" s="109" t="n">
        <x:f>IF(N246="","",IF(N246="Double",Summary!$B$37,Summary!$B$36))</x:f>
        <x:v>5</x:v>
      </x:c>
      <x:c r="P246" s="109" t="str">
        <x:f>IF(K246="","",K246+O246)</x:f>
      </x:c>
      <x:c r="Q246" s="111" t="str">
        <x:f>IF(P246="","",P246*Summary!$B$35)</x:f>
      </x:c>
      <x:c r="R246" s="112" t="n">
        <x:f>IF(N246="","",IF(N246="Double",Summary!$B$39,Summary!$B$38))</x:f>
        <x:v>1.6</x:v>
      </x:c>
      <x:c r="S246" s="113" t="str">
        <x:f>IF(Q246="","",Q246*R246)</x:f>
      </x:c>
    </x:row>
    <x:row r="247">
      <x:c r="A247" s="107"/>
      <x:c r="B247" s="108"/>
      <x:c r="C247" s="108"/>
      <x:c r="D247" s="108"/>
      <x:c r="E247" s="108"/>
      <x:c r="F247" s="108"/>
      <x:c r="G247" s="108"/>
      <x:c r="H247" s="108"/>
      <x:c r="I247" s="108"/>
      <x:c r="J247" s="108"/>
      <x:c r="K247" s="109"/>
      <x:c r="L247" s="110"/>
      <x:c r="M247" s="109" t="str">
        <x:f>IF(OR(K247="",L247=""),"",K247*L247)</x:f>
      </x:c>
      <x:c r="N247" s="108" t="str">
        <x:f>IF(I247="","Single",IF(LEFT(I247,2)="2x","Double","Single"))</x:f>
        <x:v>Single</x:v>
      </x:c>
      <x:c r="O247" s="109" t="n">
        <x:f>IF(N247="","",IF(N247="Double",Summary!$B$37,Summary!$B$36))</x:f>
        <x:v>5</x:v>
      </x:c>
      <x:c r="P247" s="109" t="str">
        <x:f>IF(K247="","",K247+O247)</x:f>
      </x:c>
      <x:c r="Q247" s="111" t="str">
        <x:f>IF(P247="","",P247*Summary!$B$35)</x:f>
      </x:c>
      <x:c r="R247" s="112" t="n">
        <x:f>IF(N247="","",IF(N247="Double",Summary!$B$39,Summary!$B$38))</x:f>
        <x:v>1.6</x:v>
      </x:c>
      <x:c r="S247" s="113" t="str">
        <x:f>IF(Q247="","",Q247*R247)</x:f>
      </x:c>
    </x:row>
    <x:row r="248">
      <x:c r="A248" s="107"/>
      <x:c r="B248" s="108"/>
      <x:c r="C248" s="108"/>
      <x:c r="D248" s="108"/>
      <x:c r="E248" s="108"/>
      <x:c r="F248" s="108"/>
      <x:c r="G248" s="108"/>
      <x:c r="H248" s="108"/>
      <x:c r="I248" s="108"/>
      <x:c r="J248" s="108"/>
      <x:c r="K248" s="109"/>
      <x:c r="L248" s="110"/>
      <x:c r="M248" s="109" t="str">
        <x:f>IF(OR(K248="",L248=""),"",K248*L248)</x:f>
      </x:c>
      <x:c r="N248" s="108" t="str">
        <x:f>IF(I248="","Single",IF(LEFT(I248,2)="2x","Double","Single"))</x:f>
        <x:v>Single</x:v>
      </x:c>
      <x:c r="O248" s="109" t="n">
        <x:f>IF(N248="","",IF(N248="Double",Summary!$B$37,Summary!$B$36))</x:f>
        <x:v>5</x:v>
      </x:c>
      <x:c r="P248" s="109" t="str">
        <x:f>IF(K248="","",K248+O248)</x:f>
      </x:c>
      <x:c r="Q248" s="111" t="str">
        <x:f>IF(P248="","",P248*Summary!$B$35)</x:f>
      </x:c>
      <x:c r="R248" s="112" t="n">
        <x:f>IF(N248="","",IF(N248="Double",Summary!$B$39,Summary!$B$38))</x:f>
        <x:v>1.6</x:v>
      </x:c>
      <x:c r="S248" s="113" t="str">
        <x:f>IF(Q248="","",Q248*R248)</x:f>
      </x:c>
    </x:row>
    <x:row r="249">
      <x:c r="A249" s="107"/>
      <x:c r="B249" s="108"/>
      <x:c r="C249" s="108"/>
      <x:c r="D249" s="108"/>
      <x:c r="E249" s="108"/>
      <x:c r="F249" s="108"/>
      <x:c r="G249" s="108"/>
      <x:c r="H249" s="108"/>
      <x:c r="I249" s="108"/>
      <x:c r="J249" s="108"/>
      <x:c r="K249" s="109"/>
      <x:c r="L249" s="110"/>
      <x:c r="M249" s="109" t="str">
        <x:f>IF(OR(K249="",L249=""),"",K249*L249)</x:f>
      </x:c>
      <x:c r="N249" s="108" t="str">
        <x:f>IF(I249="","Single",IF(LEFT(I249,2)="2x","Double","Single"))</x:f>
        <x:v>Single</x:v>
      </x:c>
      <x:c r="O249" s="109" t="n">
        <x:f>IF(N249="","",IF(N249="Double",Summary!$B$37,Summary!$B$36))</x:f>
        <x:v>5</x:v>
      </x:c>
      <x:c r="P249" s="109" t="str">
        <x:f>IF(K249="","",K249+O249)</x:f>
      </x:c>
      <x:c r="Q249" s="111" t="str">
        <x:f>IF(P249="","",P249*Summary!$B$35)</x:f>
      </x:c>
      <x:c r="R249" s="112" t="n">
        <x:f>IF(N249="","",IF(N249="Double",Summary!$B$39,Summary!$B$38))</x:f>
        <x:v>1.6</x:v>
      </x:c>
      <x:c r="S249" s="113" t="str">
        <x:f>IF(Q249="","",Q249*R249)</x:f>
      </x:c>
    </x:row>
    <x:row r="250">
      <x:c r="A250" s="107"/>
      <x:c r="B250" s="108"/>
      <x:c r="C250" s="108"/>
      <x:c r="D250" s="108"/>
      <x:c r="E250" s="108"/>
      <x:c r="F250" s="108"/>
      <x:c r="G250" s="108"/>
      <x:c r="H250" s="108"/>
      <x:c r="I250" s="108"/>
      <x:c r="J250" s="108"/>
      <x:c r="K250" s="109"/>
      <x:c r="L250" s="110"/>
      <x:c r="M250" s="109" t="str">
        <x:f>IF(OR(K250="",L250=""),"",K250*L250)</x:f>
      </x:c>
      <x:c r="N250" s="108" t="str">
        <x:f>IF(I250="","Single",IF(LEFT(I250,2)="2x","Double","Single"))</x:f>
        <x:v>Single</x:v>
      </x:c>
      <x:c r="O250" s="109" t="n">
        <x:f>IF(N250="","",IF(N250="Double",Summary!$B$37,Summary!$B$36))</x:f>
        <x:v>5</x:v>
      </x:c>
      <x:c r="P250" s="109" t="str">
        <x:f>IF(K250="","",K250+O250)</x:f>
      </x:c>
      <x:c r="Q250" s="111" t="str">
        <x:f>IF(P250="","",P250*Summary!$B$35)</x:f>
      </x:c>
      <x:c r="R250" s="112" t="n">
        <x:f>IF(N250="","",IF(N250="Double",Summary!$B$39,Summary!$B$38))</x:f>
        <x:v>1.6</x:v>
      </x:c>
      <x:c r="S250" s="113" t="str">
        <x:f>IF(Q250="","",Q250*R250)</x:f>
      </x:c>
    </x:row>
    <x:row r="251">
      <x:c r="A251" s="107"/>
      <x:c r="B251" s="108"/>
      <x:c r="C251" s="108"/>
      <x:c r="D251" s="108"/>
      <x:c r="E251" s="108"/>
      <x:c r="F251" s="108"/>
      <x:c r="G251" s="108"/>
      <x:c r="H251" s="108"/>
      <x:c r="I251" s="108"/>
      <x:c r="J251" s="108"/>
      <x:c r="K251" s="109"/>
      <x:c r="L251" s="110"/>
      <x:c r="M251" s="109" t="str">
        <x:f>IF(OR(K251="",L251=""),"",K251*L251)</x:f>
      </x:c>
      <x:c r="N251" s="108" t="str">
        <x:f>IF(I251="","Single",IF(LEFT(I251,2)="2x","Double","Single"))</x:f>
        <x:v>Single</x:v>
      </x:c>
      <x:c r="O251" s="109" t="n">
        <x:f>IF(N251="","",IF(N251="Double",Summary!$B$37,Summary!$B$36))</x:f>
        <x:v>5</x:v>
      </x:c>
      <x:c r="P251" s="109" t="str">
        <x:f>IF(K251="","",K251+O251)</x:f>
      </x:c>
      <x:c r="Q251" s="111" t="str">
        <x:f>IF(P251="","",P251*Summary!$B$35)</x:f>
      </x:c>
      <x:c r="R251" s="112" t="n">
        <x:f>IF(N251="","",IF(N251="Double",Summary!$B$39,Summary!$B$38))</x:f>
        <x:v>1.6</x:v>
      </x:c>
      <x:c r="S251" s="113" t="str">
        <x:f>IF(Q251="","",Q251*R251)</x:f>
      </x:c>
    </x:row>
    <x:row r="252">
      <x:c r="A252" s="107"/>
      <x:c r="B252" s="108"/>
      <x:c r="C252" s="108"/>
      <x:c r="D252" s="108"/>
      <x:c r="E252" s="108"/>
      <x:c r="F252" s="108"/>
      <x:c r="G252" s="108"/>
      <x:c r="H252" s="108"/>
      <x:c r="I252" s="108"/>
      <x:c r="J252" s="108"/>
      <x:c r="K252" s="109"/>
      <x:c r="L252" s="110"/>
      <x:c r="M252" s="109" t="str">
        <x:f>IF(OR(K252="",L252=""),"",K252*L252)</x:f>
      </x:c>
      <x:c r="N252" s="108" t="str">
        <x:f>IF(I252="","Single",IF(LEFT(I252,2)="2x","Double","Single"))</x:f>
        <x:v>Single</x:v>
      </x:c>
      <x:c r="O252" s="109" t="n">
        <x:f>IF(N252="","",IF(N252="Double",Summary!$B$37,Summary!$B$36))</x:f>
        <x:v>5</x:v>
      </x:c>
      <x:c r="P252" s="109" t="str">
        <x:f>IF(K252="","",K252+O252)</x:f>
      </x:c>
      <x:c r="Q252" s="111" t="str">
        <x:f>IF(P252="","",P252*Summary!$B$35)</x:f>
      </x:c>
      <x:c r="R252" s="112" t="n">
        <x:f>IF(N252="","",IF(N252="Double",Summary!$B$39,Summary!$B$38))</x:f>
        <x:v>1.6</x:v>
      </x:c>
      <x:c r="S252" s="113" t="str">
        <x:f>IF(Q252="","",Q252*R252)</x:f>
      </x:c>
    </x:row>
    <x:row r="253">
      <x:c r="A253" s="107"/>
      <x:c r="B253" s="108"/>
      <x:c r="C253" s="108"/>
      <x:c r="D253" s="108"/>
      <x:c r="E253" s="108"/>
      <x:c r="F253" s="108"/>
      <x:c r="G253" s="108"/>
      <x:c r="H253" s="108"/>
      <x:c r="I253" s="108"/>
      <x:c r="J253" s="108"/>
      <x:c r="K253" s="109"/>
      <x:c r="L253" s="110"/>
      <x:c r="M253" s="109" t="str">
        <x:f>IF(OR(K253="",L253=""),"",K253*L253)</x:f>
      </x:c>
      <x:c r="N253" s="108" t="str">
        <x:f>IF(I253="","Single",IF(LEFT(I253,2)="2x","Double","Single"))</x:f>
        <x:v>Single</x:v>
      </x:c>
      <x:c r="O253" s="109" t="n">
        <x:f>IF(N253="","",IF(N253="Double",Summary!$B$37,Summary!$B$36))</x:f>
        <x:v>5</x:v>
      </x:c>
      <x:c r="P253" s="109" t="str">
        <x:f>IF(K253="","",K253+O253)</x:f>
      </x:c>
      <x:c r="Q253" s="111" t="str">
        <x:f>IF(P253="","",P253*Summary!$B$35)</x:f>
      </x:c>
      <x:c r="R253" s="112" t="n">
        <x:f>IF(N253="","",IF(N253="Double",Summary!$B$39,Summary!$B$38))</x:f>
        <x:v>1.6</x:v>
      </x:c>
      <x:c r="S253" s="113" t="str">
        <x:f>IF(Q253="","",Q253*R253)</x:f>
      </x:c>
    </x:row>
    <x:row r="254">
      <x:c r="A254" s="107"/>
      <x:c r="B254" s="108"/>
      <x:c r="C254" s="108"/>
      <x:c r="D254" s="108"/>
      <x:c r="E254" s="108"/>
      <x:c r="F254" s="108"/>
      <x:c r="G254" s="108"/>
      <x:c r="H254" s="108"/>
      <x:c r="I254" s="108"/>
      <x:c r="J254" s="108"/>
      <x:c r="K254" s="109"/>
      <x:c r="L254" s="110"/>
      <x:c r="M254" s="109" t="str">
        <x:f>IF(OR(K254="",L254=""),"",K254*L254)</x:f>
      </x:c>
      <x:c r="N254" s="108" t="str">
        <x:f>IF(I254="","Single",IF(LEFT(I254,2)="2x","Double","Single"))</x:f>
        <x:v>Single</x:v>
      </x:c>
      <x:c r="O254" s="109" t="n">
        <x:f>IF(N254="","",IF(N254="Double",Summary!$B$37,Summary!$B$36))</x:f>
        <x:v>5</x:v>
      </x:c>
      <x:c r="P254" s="109" t="str">
        <x:f>IF(K254="","",K254+O254)</x:f>
      </x:c>
      <x:c r="Q254" s="111" t="str">
        <x:f>IF(P254="","",P254*Summary!$B$35)</x:f>
      </x:c>
      <x:c r="R254" s="112" t="n">
        <x:f>IF(N254="","",IF(N254="Double",Summary!$B$39,Summary!$B$38))</x:f>
        <x:v>1.6</x:v>
      </x:c>
      <x:c r="S254" s="113" t="str">
        <x:f>IF(Q254="","",Q254*R254)</x:f>
      </x:c>
    </x:row>
    <x:row r="255">
      <x:c r="A255" s="107"/>
      <x:c r="B255" s="108"/>
      <x:c r="C255" s="108"/>
      <x:c r="D255" s="108"/>
      <x:c r="E255" s="108"/>
      <x:c r="F255" s="108"/>
      <x:c r="G255" s="108"/>
      <x:c r="H255" s="108"/>
      <x:c r="I255" s="108"/>
      <x:c r="J255" s="108"/>
      <x:c r="K255" s="109"/>
      <x:c r="L255" s="110"/>
      <x:c r="M255" s="109" t="str">
        <x:f>IF(OR(K255="",L255=""),"",K255*L255)</x:f>
      </x:c>
      <x:c r="N255" s="108" t="str">
        <x:f>IF(I255="","Single",IF(LEFT(I255,2)="2x","Double","Single"))</x:f>
        <x:v>Single</x:v>
      </x:c>
      <x:c r="O255" s="109" t="n">
        <x:f>IF(N255="","",IF(N255="Double",Summary!$B$37,Summary!$B$36))</x:f>
        <x:v>5</x:v>
      </x:c>
      <x:c r="P255" s="109" t="str">
        <x:f>IF(K255="","",K255+O255)</x:f>
      </x:c>
      <x:c r="Q255" s="111" t="str">
        <x:f>IF(P255="","",P255*Summary!$B$35)</x:f>
      </x:c>
      <x:c r="R255" s="112" t="n">
        <x:f>IF(N255="","",IF(N255="Double",Summary!$B$39,Summary!$B$38))</x:f>
        <x:v>1.6</x:v>
      </x:c>
      <x:c r="S255" s="113" t="str">
        <x:f>IF(Q255="","",Q255*R255)</x:f>
      </x:c>
    </x:row>
    <x:row r="256">
      <x:c r="A256" s="107"/>
      <x:c r="B256" s="108"/>
      <x:c r="C256" s="108"/>
      <x:c r="D256" s="108"/>
      <x:c r="E256" s="108"/>
      <x:c r="F256" s="108"/>
      <x:c r="G256" s="108"/>
      <x:c r="H256" s="108"/>
      <x:c r="I256" s="108"/>
      <x:c r="J256" s="108"/>
      <x:c r="K256" s="109"/>
      <x:c r="L256" s="110"/>
      <x:c r="M256" s="109" t="str">
        <x:f>IF(OR(K256="",L256=""),"",K256*L256)</x:f>
      </x:c>
      <x:c r="N256" s="108" t="str">
        <x:f>IF(I256="","Single",IF(LEFT(I256,2)="2x","Double","Single"))</x:f>
        <x:v>Single</x:v>
      </x:c>
      <x:c r="O256" s="109" t="n">
        <x:f>IF(N256="","",IF(N256="Double",Summary!$B$37,Summary!$B$36))</x:f>
        <x:v>5</x:v>
      </x:c>
      <x:c r="P256" s="109" t="str">
        <x:f>IF(K256="","",K256+O256)</x:f>
      </x:c>
      <x:c r="Q256" s="111" t="str">
        <x:f>IF(P256="","",P256*Summary!$B$35)</x:f>
      </x:c>
      <x:c r="R256" s="112" t="n">
        <x:f>IF(N256="","",IF(N256="Double",Summary!$B$39,Summary!$B$38))</x:f>
        <x:v>1.6</x:v>
      </x:c>
      <x:c r="S256" s="113" t="str">
        <x:f>IF(Q256="","",Q256*R256)</x:f>
      </x:c>
    </x:row>
    <x:row r="257">
      <x:c r="A257" s="107"/>
      <x:c r="B257" s="108"/>
      <x:c r="C257" s="108"/>
      <x:c r="D257" s="108"/>
      <x:c r="E257" s="108"/>
      <x:c r="F257" s="108"/>
      <x:c r="G257" s="108"/>
      <x:c r="H257" s="108"/>
      <x:c r="I257" s="108"/>
      <x:c r="J257" s="108"/>
      <x:c r="K257" s="109"/>
      <x:c r="L257" s="110"/>
      <x:c r="M257" s="109" t="str">
        <x:f>IF(OR(K257="",L257=""),"",K257*L257)</x:f>
      </x:c>
      <x:c r="N257" s="108" t="str">
        <x:f>IF(I257="","Single",IF(LEFT(I257,2)="2x","Double","Single"))</x:f>
        <x:v>Single</x:v>
      </x:c>
      <x:c r="O257" s="109" t="n">
        <x:f>IF(N257="","",IF(N257="Double",Summary!$B$37,Summary!$B$36))</x:f>
        <x:v>5</x:v>
      </x:c>
      <x:c r="P257" s="109" t="str">
        <x:f>IF(K257="","",K257+O257)</x:f>
      </x:c>
      <x:c r="Q257" s="111" t="str">
        <x:f>IF(P257="","",P257*Summary!$B$35)</x:f>
      </x:c>
      <x:c r="R257" s="112" t="n">
        <x:f>IF(N257="","",IF(N257="Double",Summary!$B$39,Summary!$B$38))</x:f>
        <x:v>1.6</x:v>
      </x:c>
      <x:c r="S257" s="113" t="str">
        <x:f>IF(Q257="","",Q257*R257)</x:f>
      </x:c>
    </x:row>
    <x:row r="258">
      <x:c r="A258" s="107"/>
      <x:c r="B258" s="108"/>
      <x:c r="C258" s="108"/>
      <x:c r="D258" s="108"/>
      <x:c r="E258" s="108"/>
      <x:c r="F258" s="108"/>
      <x:c r="G258" s="108"/>
      <x:c r="H258" s="108"/>
      <x:c r="I258" s="108"/>
      <x:c r="J258" s="108"/>
      <x:c r="K258" s="109"/>
      <x:c r="L258" s="110"/>
      <x:c r="M258" s="109" t="str">
        <x:f>IF(OR(K258="",L258=""),"",K258*L258)</x:f>
      </x:c>
      <x:c r="N258" s="108" t="str">
        <x:f>IF(I258="","Single",IF(LEFT(I258,2)="2x","Double","Single"))</x:f>
        <x:v>Single</x:v>
      </x:c>
      <x:c r="O258" s="109" t="n">
        <x:f>IF(N258="","",IF(N258="Double",Summary!$B$37,Summary!$B$36))</x:f>
        <x:v>5</x:v>
      </x:c>
      <x:c r="P258" s="109" t="str">
        <x:f>IF(K258="","",K258+O258)</x:f>
      </x:c>
      <x:c r="Q258" s="111" t="str">
        <x:f>IF(P258="","",P258*Summary!$B$35)</x:f>
      </x:c>
      <x:c r="R258" s="112" t="n">
        <x:f>IF(N258="","",IF(N258="Double",Summary!$B$39,Summary!$B$38))</x:f>
        <x:v>1.6</x:v>
      </x:c>
      <x:c r="S258" s="113" t="str">
        <x:f>IF(Q258="","",Q258*R258)</x:f>
      </x:c>
    </x:row>
    <x:row r="259">
      <x:c r="A259" s="107"/>
      <x:c r="B259" s="108"/>
      <x:c r="C259" s="108"/>
      <x:c r="D259" s="108"/>
      <x:c r="E259" s="108"/>
      <x:c r="F259" s="108"/>
      <x:c r="G259" s="108"/>
      <x:c r="H259" s="108"/>
      <x:c r="I259" s="108"/>
      <x:c r="J259" s="108"/>
      <x:c r="K259" s="109"/>
      <x:c r="L259" s="110"/>
      <x:c r="M259" s="109" t="str">
        <x:f>IF(OR(K259="",L259=""),"",K259*L259)</x:f>
      </x:c>
      <x:c r="N259" s="108" t="str">
        <x:f>IF(I259="","Single",IF(LEFT(I259,2)="2x","Double","Single"))</x:f>
        <x:v>Single</x:v>
      </x:c>
      <x:c r="O259" s="109" t="n">
        <x:f>IF(N259="","",IF(N259="Double",Summary!$B$37,Summary!$B$36))</x:f>
        <x:v>5</x:v>
      </x:c>
      <x:c r="P259" s="109" t="str">
        <x:f>IF(K259="","",K259+O259)</x:f>
      </x:c>
      <x:c r="Q259" s="111" t="str">
        <x:f>IF(P259="","",P259*Summary!$B$35)</x:f>
      </x:c>
      <x:c r="R259" s="112" t="n">
        <x:f>IF(N259="","",IF(N259="Double",Summary!$B$39,Summary!$B$38))</x:f>
        <x:v>1.6</x:v>
      </x:c>
      <x:c r="S259" s="113" t="str">
        <x:f>IF(Q259="","",Q259*R259)</x:f>
      </x:c>
    </x:row>
    <x:row r="260">
      <x:c r="A260" s="107"/>
      <x:c r="B260" s="108"/>
      <x:c r="C260" s="108"/>
      <x:c r="D260" s="108"/>
      <x:c r="E260" s="108"/>
      <x:c r="F260" s="108"/>
      <x:c r="G260" s="108"/>
      <x:c r="H260" s="108"/>
      <x:c r="I260" s="108"/>
      <x:c r="J260" s="108"/>
      <x:c r="K260" s="109"/>
      <x:c r="L260" s="110"/>
      <x:c r="M260" s="109" t="str">
        <x:f>IF(OR(K260="",L260=""),"",K260*L260)</x:f>
      </x:c>
      <x:c r="N260" s="108" t="str">
        <x:f>IF(I260="","Single",IF(LEFT(I260,2)="2x","Double","Single"))</x:f>
        <x:v>Single</x:v>
      </x:c>
      <x:c r="O260" s="109" t="n">
        <x:f>IF(N260="","",IF(N260="Double",Summary!$B$37,Summary!$B$36))</x:f>
        <x:v>5</x:v>
      </x:c>
      <x:c r="P260" s="109" t="str">
        <x:f>IF(K260="","",K260+O260)</x:f>
      </x:c>
      <x:c r="Q260" s="111" t="str">
        <x:f>IF(P260="","",P260*Summary!$B$35)</x:f>
      </x:c>
      <x:c r="R260" s="112" t="n">
        <x:f>IF(N260="","",IF(N260="Double",Summary!$B$39,Summary!$B$38))</x:f>
        <x:v>1.6</x:v>
      </x:c>
      <x:c r="S260" s="113" t="str">
        <x:f>IF(Q260="","",Q260*R260)</x:f>
      </x:c>
    </x:row>
    <x:row r="261">
      <x:c r="A261" s="107"/>
      <x:c r="B261" s="108"/>
      <x:c r="C261" s="108"/>
      <x:c r="D261" s="108"/>
      <x:c r="E261" s="108"/>
      <x:c r="F261" s="108"/>
      <x:c r="G261" s="108"/>
      <x:c r="H261" s="108"/>
      <x:c r="I261" s="108"/>
      <x:c r="J261" s="108"/>
      <x:c r="K261" s="109"/>
      <x:c r="L261" s="110"/>
      <x:c r="M261" s="109" t="str">
        <x:f>IF(OR(K261="",L261=""),"",K261*L261)</x:f>
      </x:c>
      <x:c r="N261" s="108" t="str">
        <x:f>IF(I261="","Single",IF(LEFT(I261,2)="2x","Double","Single"))</x:f>
        <x:v>Single</x:v>
      </x:c>
      <x:c r="O261" s="109" t="n">
        <x:f>IF(N261="","",IF(N261="Double",Summary!$B$37,Summary!$B$36))</x:f>
        <x:v>5</x:v>
      </x:c>
      <x:c r="P261" s="109" t="str">
        <x:f>IF(K261="","",K261+O261)</x:f>
      </x:c>
      <x:c r="Q261" s="111" t="str">
        <x:f>IF(P261="","",P261*Summary!$B$35)</x:f>
      </x:c>
      <x:c r="R261" s="112" t="n">
        <x:f>IF(N261="","",IF(N261="Double",Summary!$B$39,Summary!$B$38))</x:f>
        <x:v>1.6</x:v>
      </x:c>
      <x:c r="S261" s="113" t="str">
        <x:f>IF(Q261="","",Q261*R261)</x:f>
      </x:c>
    </x:row>
    <x:row r="262">
      <x:c r="A262" s="107"/>
      <x:c r="B262" s="108"/>
      <x:c r="C262" s="108"/>
      <x:c r="D262" s="108"/>
      <x:c r="E262" s="108"/>
      <x:c r="F262" s="108"/>
      <x:c r="G262" s="108"/>
      <x:c r="H262" s="108"/>
      <x:c r="I262" s="108"/>
      <x:c r="J262" s="108"/>
      <x:c r="K262" s="109"/>
      <x:c r="L262" s="110"/>
      <x:c r="M262" s="109" t="str">
        <x:f>IF(OR(K262="",L262=""),"",K262*L262)</x:f>
      </x:c>
      <x:c r="N262" s="108" t="str">
        <x:f>IF(I262="","Single",IF(LEFT(I262,2)="2x","Double","Single"))</x:f>
        <x:v>Single</x:v>
      </x:c>
      <x:c r="O262" s="109" t="n">
        <x:f>IF(N262="","",IF(N262="Double",Summary!$B$37,Summary!$B$36))</x:f>
        <x:v>5</x:v>
      </x:c>
      <x:c r="P262" s="109" t="str">
        <x:f>IF(K262="","",K262+O262)</x:f>
      </x:c>
      <x:c r="Q262" s="111" t="str">
        <x:f>IF(P262="","",P262*Summary!$B$35)</x:f>
      </x:c>
      <x:c r="R262" s="112" t="n">
        <x:f>IF(N262="","",IF(N262="Double",Summary!$B$39,Summary!$B$38))</x:f>
        <x:v>1.6</x:v>
      </x:c>
      <x:c r="S262" s="113" t="str">
        <x:f>IF(Q262="","",Q262*R262)</x:f>
      </x:c>
    </x:row>
    <x:row r="263">
      <x:c r="A263" s="107"/>
      <x:c r="B263" s="108"/>
      <x:c r="C263" s="108"/>
      <x:c r="D263" s="108"/>
      <x:c r="E263" s="108"/>
      <x:c r="F263" s="108"/>
      <x:c r="G263" s="108"/>
      <x:c r="H263" s="108"/>
      <x:c r="I263" s="108"/>
      <x:c r="J263" s="108"/>
      <x:c r="K263" s="109"/>
      <x:c r="L263" s="110"/>
      <x:c r="M263" s="109" t="str">
        <x:f>IF(OR(K263="",L263=""),"",K263*L263)</x:f>
      </x:c>
      <x:c r="N263" s="108" t="str">
        <x:f>IF(I263="","Single",IF(LEFT(I263,2)="2x","Double","Single"))</x:f>
        <x:v>Single</x:v>
      </x:c>
      <x:c r="O263" s="109" t="n">
        <x:f>IF(N263="","",IF(N263="Double",Summary!$B$37,Summary!$B$36))</x:f>
        <x:v>5</x:v>
      </x:c>
      <x:c r="P263" s="109" t="str">
        <x:f>IF(K263="","",K263+O263)</x:f>
      </x:c>
      <x:c r="Q263" s="111" t="str">
        <x:f>IF(P263="","",P263*Summary!$B$35)</x:f>
      </x:c>
      <x:c r="R263" s="112" t="n">
        <x:f>IF(N263="","",IF(N263="Double",Summary!$B$39,Summary!$B$38))</x:f>
        <x:v>1.6</x:v>
      </x:c>
      <x:c r="S263" s="113" t="str">
        <x:f>IF(Q263="","",Q263*R263)</x:f>
      </x:c>
    </x:row>
    <x:row r="264">
      <x:c r="A264" s="107"/>
      <x:c r="B264" s="108"/>
      <x:c r="C264" s="108"/>
      <x:c r="D264" s="108"/>
      <x:c r="E264" s="108"/>
      <x:c r="F264" s="108"/>
      <x:c r="G264" s="108"/>
      <x:c r="H264" s="108"/>
      <x:c r="I264" s="108"/>
      <x:c r="J264" s="108"/>
      <x:c r="K264" s="109"/>
      <x:c r="L264" s="110"/>
      <x:c r="M264" s="109" t="str">
        <x:f>IF(OR(K264="",L264=""),"",K264*L264)</x:f>
      </x:c>
      <x:c r="N264" s="108" t="str">
        <x:f>IF(I264="","Single",IF(LEFT(I264,2)="2x","Double","Single"))</x:f>
        <x:v>Single</x:v>
      </x:c>
      <x:c r="O264" s="109" t="n">
        <x:f>IF(N264="","",IF(N264="Double",Summary!$B$37,Summary!$B$36))</x:f>
        <x:v>5</x:v>
      </x:c>
      <x:c r="P264" s="109" t="str">
        <x:f>IF(K264="","",K264+O264)</x:f>
      </x:c>
      <x:c r="Q264" s="111" t="str">
        <x:f>IF(P264="","",P264*Summary!$B$35)</x:f>
      </x:c>
      <x:c r="R264" s="112" t="n">
        <x:f>IF(N264="","",IF(N264="Double",Summary!$B$39,Summary!$B$38))</x:f>
        <x:v>1.6</x:v>
      </x:c>
      <x:c r="S264" s="113" t="str">
        <x:f>IF(Q264="","",Q264*R264)</x:f>
      </x:c>
    </x:row>
    <x:row r="265">
      <x:c r="A265" s="107"/>
      <x:c r="B265" s="108"/>
      <x:c r="C265" s="108"/>
      <x:c r="D265" s="108"/>
      <x:c r="E265" s="108"/>
      <x:c r="F265" s="108"/>
      <x:c r="G265" s="108"/>
      <x:c r="H265" s="108"/>
      <x:c r="I265" s="108"/>
      <x:c r="J265" s="108"/>
      <x:c r="K265" s="109"/>
      <x:c r="L265" s="110"/>
      <x:c r="M265" s="109" t="str">
        <x:f>IF(OR(K265="",L265=""),"",K265*L265)</x:f>
      </x:c>
      <x:c r="N265" s="108" t="str">
        <x:f>IF(I265="","Single",IF(LEFT(I265,2)="2x","Double","Single"))</x:f>
        <x:v>Single</x:v>
      </x:c>
      <x:c r="O265" s="109" t="n">
        <x:f>IF(N265="","",IF(N265="Double",Summary!$B$37,Summary!$B$36))</x:f>
        <x:v>5</x:v>
      </x:c>
      <x:c r="P265" s="109" t="str">
        <x:f>IF(K265="","",K265+O265)</x:f>
      </x:c>
      <x:c r="Q265" s="111" t="str">
        <x:f>IF(P265="","",P265*Summary!$B$35)</x:f>
      </x:c>
      <x:c r="R265" s="112" t="n">
        <x:f>IF(N265="","",IF(N265="Double",Summary!$B$39,Summary!$B$38))</x:f>
        <x:v>1.6</x:v>
      </x:c>
      <x:c r="S265" s="113" t="str">
        <x:f>IF(Q265="","",Q265*R265)</x:f>
      </x:c>
    </x:row>
    <x:row r="266">
      <x:c r="A266" s="107"/>
      <x:c r="B266" s="108"/>
      <x:c r="C266" s="108"/>
      <x:c r="D266" s="108"/>
      <x:c r="E266" s="108"/>
      <x:c r="F266" s="108"/>
      <x:c r="G266" s="108"/>
      <x:c r="H266" s="108"/>
      <x:c r="I266" s="108"/>
      <x:c r="J266" s="108"/>
      <x:c r="K266" s="109"/>
      <x:c r="L266" s="110"/>
      <x:c r="M266" s="109" t="str">
        <x:f>IF(OR(K266="",L266=""),"",K266*L266)</x:f>
      </x:c>
      <x:c r="N266" s="108" t="str">
        <x:f>IF(I266="","Single",IF(LEFT(I266,2)="2x","Double","Single"))</x:f>
        <x:v>Single</x:v>
      </x:c>
      <x:c r="O266" s="109" t="n">
        <x:f>IF(N266="","",IF(N266="Double",Summary!$B$37,Summary!$B$36))</x:f>
        <x:v>5</x:v>
      </x:c>
      <x:c r="P266" s="109" t="str">
        <x:f>IF(K266="","",K266+O266)</x:f>
      </x:c>
      <x:c r="Q266" s="111" t="str">
        <x:f>IF(P266="","",P266*Summary!$B$35)</x:f>
      </x:c>
      <x:c r="R266" s="112" t="n">
        <x:f>IF(N266="","",IF(N266="Double",Summary!$B$39,Summary!$B$38))</x:f>
        <x:v>1.6</x:v>
      </x:c>
      <x:c r="S266" s="113" t="str">
        <x:f>IF(Q266="","",Q266*R266)</x:f>
      </x:c>
    </x:row>
    <x:row r="267">
      <x:c r="A267" s="107"/>
      <x:c r="B267" s="108"/>
      <x:c r="C267" s="108"/>
      <x:c r="D267" s="108"/>
      <x:c r="E267" s="108"/>
      <x:c r="F267" s="108"/>
      <x:c r="G267" s="108"/>
      <x:c r="H267" s="108"/>
      <x:c r="I267" s="108"/>
      <x:c r="J267" s="108"/>
      <x:c r="K267" s="109"/>
      <x:c r="L267" s="110"/>
      <x:c r="M267" s="109" t="str">
        <x:f>IF(OR(K267="",L267=""),"",K267*L267)</x:f>
      </x:c>
      <x:c r="N267" s="108" t="str">
        <x:f>IF(I267="","Single",IF(LEFT(I267,2)="2x","Double","Single"))</x:f>
        <x:v>Single</x:v>
      </x:c>
      <x:c r="O267" s="109" t="n">
        <x:f>IF(N267="","",IF(N267="Double",Summary!$B$37,Summary!$B$36))</x:f>
        <x:v>5</x:v>
      </x:c>
      <x:c r="P267" s="109" t="str">
        <x:f>IF(K267="","",K267+O267)</x:f>
      </x:c>
      <x:c r="Q267" s="111" t="str">
        <x:f>IF(P267="","",P267*Summary!$B$35)</x:f>
      </x:c>
      <x:c r="R267" s="112" t="n">
        <x:f>IF(N267="","",IF(N267="Double",Summary!$B$39,Summary!$B$38))</x:f>
        <x:v>1.6</x:v>
      </x:c>
      <x:c r="S267" s="113" t="str">
        <x:f>IF(Q267="","",Q267*R267)</x:f>
      </x:c>
    </x:row>
    <x:row r="268">
      <x:c r="A268" s="107"/>
      <x:c r="B268" s="108"/>
      <x:c r="C268" s="108"/>
      <x:c r="D268" s="108"/>
      <x:c r="E268" s="108"/>
      <x:c r="F268" s="108"/>
      <x:c r="G268" s="108"/>
      <x:c r="H268" s="108"/>
      <x:c r="I268" s="108"/>
      <x:c r="J268" s="108"/>
      <x:c r="K268" s="109"/>
      <x:c r="L268" s="110"/>
      <x:c r="M268" s="109" t="str">
        <x:f>IF(OR(K268="",L268=""),"",K268*L268)</x:f>
      </x:c>
      <x:c r="N268" s="108" t="str">
        <x:f>IF(I268="","Single",IF(LEFT(I268,2)="2x","Double","Single"))</x:f>
        <x:v>Single</x:v>
      </x:c>
      <x:c r="O268" s="109" t="n">
        <x:f>IF(N268="","",IF(N268="Double",Summary!$B$37,Summary!$B$36))</x:f>
        <x:v>5</x:v>
      </x:c>
      <x:c r="P268" s="109" t="str">
        <x:f>IF(K268="","",K268+O268)</x:f>
      </x:c>
      <x:c r="Q268" s="111" t="str">
        <x:f>IF(P268="","",P268*Summary!$B$35)</x:f>
      </x:c>
      <x:c r="R268" s="112" t="n">
        <x:f>IF(N268="","",IF(N268="Double",Summary!$B$39,Summary!$B$38))</x:f>
        <x:v>1.6</x:v>
      </x:c>
      <x:c r="S268" s="113" t="str">
        <x:f>IF(Q268="","",Q268*R268)</x:f>
      </x:c>
    </x:row>
    <x:row r="269">
      <x:c r="A269" s="107"/>
      <x:c r="B269" s="108"/>
      <x:c r="C269" s="108"/>
      <x:c r="D269" s="108"/>
      <x:c r="E269" s="108"/>
      <x:c r="F269" s="108"/>
      <x:c r="G269" s="108"/>
      <x:c r="H269" s="108"/>
      <x:c r="I269" s="108"/>
      <x:c r="J269" s="108"/>
      <x:c r="K269" s="109"/>
      <x:c r="L269" s="110"/>
      <x:c r="M269" s="109" t="str">
        <x:f>IF(OR(K269="",L269=""),"",K269*L269)</x:f>
      </x:c>
      <x:c r="N269" s="108" t="str">
        <x:f>IF(I269="","Single",IF(LEFT(I269,2)="2x","Double","Single"))</x:f>
        <x:v>Single</x:v>
      </x:c>
      <x:c r="O269" s="109" t="n">
        <x:f>IF(N269="","",IF(N269="Double",Summary!$B$37,Summary!$B$36))</x:f>
        <x:v>5</x:v>
      </x:c>
      <x:c r="P269" s="109" t="str">
        <x:f>IF(K269="","",K269+O269)</x:f>
      </x:c>
      <x:c r="Q269" s="111" t="str">
        <x:f>IF(P269="","",P269*Summary!$B$35)</x:f>
      </x:c>
      <x:c r="R269" s="112" t="n">
        <x:f>IF(N269="","",IF(N269="Double",Summary!$B$39,Summary!$B$38))</x:f>
        <x:v>1.6</x:v>
      </x:c>
      <x:c r="S269" s="113" t="str">
        <x:f>IF(Q269="","",Q269*R269)</x:f>
      </x:c>
    </x:row>
    <x:row r="270">
      <x:c r="A270" s="107"/>
      <x:c r="B270" s="108"/>
      <x:c r="C270" s="108"/>
      <x:c r="D270" s="108"/>
      <x:c r="E270" s="108"/>
      <x:c r="F270" s="108"/>
      <x:c r="G270" s="108"/>
      <x:c r="H270" s="108"/>
      <x:c r="I270" s="108"/>
      <x:c r="J270" s="108"/>
      <x:c r="K270" s="109"/>
      <x:c r="L270" s="110"/>
      <x:c r="M270" s="109" t="str">
        <x:f>IF(OR(K270="",L270=""),"",K270*L270)</x:f>
      </x:c>
      <x:c r="N270" s="108" t="str">
        <x:f>IF(I270="","Single",IF(LEFT(I270,2)="2x","Double","Single"))</x:f>
        <x:v>Single</x:v>
      </x:c>
      <x:c r="O270" s="109" t="n">
        <x:f>IF(N270="","",IF(N270="Double",Summary!$B$37,Summary!$B$36))</x:f>
        <x:v>5</x:v>
      </x:c>
      <x:c r="P270" s="109" t="str">
        <x:f>IF(K270="","",K270+O270)</x:f>
      </x:c>
      <x:c r="Q270" s="111" t="str">
        <x:f>IF(P270="","",P270*Summary!$B$35)</x:f>
      </x:c>
      <x:c r="R270" s="112" t="n">
        <x:f>IF(N270="","",IF(N270="Double",Summary!$B$39,Summary!$B$38))</x:f>
        <x:v>1.6</x:v>
      </x:c>
      <x:c r="S270" s="113" t="str">
        <x:f>IF(Q270="","",Q270*R270)</x:f>
      </x:c>
    </x:row>
    <x:row r="271">
      <x:c r="A271" s="107"/>
      <x:c r="B271" s="108"/>
      <x:c r="C271" s="108"/>
      <x:c r="D271" s="108"/>
      <x:c r="E271" s="108"/>
      <x:c r="F271" s="108"/>
      <x:c r="G271" s="108"/>
      <x:c r="H271" s="108"/>
      <x:c r="I271" s="108"/>
      <x:c r="J271" s="108"/>
      <x:c r="K271" s="109"/>
      <x:c r="L271" s="110"/>
      <x:c r="M271" s="109" t="str">
        <x:f>IF(OR(K271="",L271=""),"",K271*L271)</x:f>
      </x:c>
      <x:c r="N271" s="108" t="str">
        <x:f>IF(I271="","Single",IF(LEFT(I271,2)="2x","Double","Single"))</x:f>
        <x:v>Single</x:v>
      </x:c>
      <x:c r="O271" s="109" t="n">
        <x:f>IF(N271="","",IF(N271="Double",Summary!$B$37,Summary!$B$36))</x:f>
        <x:v>5</x:v>
      </x:c>
      <x:c r="P271" s="109" t="str">
        <x:f>IF(K271="","",K271+O271)</x:f>
      </x:c>
      <x:c r="Q271" s="111" t="str">
        <x:f>IF(P271="","",P271*Summary!$B$35)</x:f>
      </x:c>
      <x:c r="R271" s="112" t="n">
        <x:f>IF(N271="","",IF(N271="Double",Summary!$B$39,Summary!$B$38))</x:f>
        <x:v>1.6</x:v>
      </x:c>
      <x:c r="S271" s="113" t="str">
        <x:f>IF(Q271="","",Q271*R271)</x:f>
      </x:c>
    </x:row>
    <x:row r="272">
      <x:c r="A272" s="107"/>
      <x:c r="B272" s="108"/>
      <x:c r="C272" s="108"/>
      <x:c r="D272" s="108"/>
      <x:c r="E272" s="108"/>
      <x:c r="F272" s="108"/>
      <x:c r="G272" s="108"/>
      <x:c r="H272" s="108"/>
      <x:c r="I272" s="108"/>
      <x:c r="J272" s="108"/>
      <x:c r="K272" s="109"/>
      <x:c r="L272" s="110"/>
      <x:c r="M272" s="109" t="str">
        <x:f>IF(OR(K272="",L272=""),"",K272*L272)</x:f>
      </x:c>
      <x:c r="N272" s="108" t="str">
        <x:f>IF(I272="","Single",IF(LEFT(I272,2)="2x","Double","Single"))</x:f>
        <x:v>Single</x:v>
      </x:c>
      <x:c r="O272" s="109" t="n">
        <x:f>IF(N272="","",IF(N272="Double",Summary!$B$37,Summary!$B$36))</x:f>
        <x:v>5</x:v>
      </x:c>
      <x:c r="P272" s="109" t="str">
        <x:f>IF(K272="","",K272+O272)</x:f>
      </x:c>
      <x:c r="Q272" s="111" t="str">
        <x:f>IF(P272="","",P272*Summary!$B$35)</x:f>
      </x:c>
      <x:c r="R272" s="112" t="n">
        <x:f>IF(N272="","",IF(N272="Double",Summary!$B$39,Summary!$B$38))</x:f>
        <x:v>1.6</x:v>
      </x:c>
      <x:c r="S272" s="113" t="str">
        <x:f>IF(Q272="","",Q272*R272)</x:f>
      </x:c>
    </x:row>
    <x:row r="273">
      <x:c r="A273" s="107"/>
      <x:c r="B273" s="108"/>
      <x:c r="C273" s="108"/>
      <x:c r="D273" s="108"/>
      <x:c r="E273" s="108"/>
      <x:c r="F273" s="108"/>
      <x:c r="G273" s="108"/>
      <x:c r="H273" s="108"/>
      <x:c r="I273" s="108"/>
      <x:c r="J273" s="108"/>
      <x:c r="K273" s="109"/>
      <x:c r="L273" s="110"/>
      <x:c r="M273" s="109" t="str">
        <x:f>IF(OR(K273="",L273=""),"",K273*L273)</x:f>
      </x:c>
      <x:c r="N273" s="108" t="str">
        <x:f>IF(I273="","Single",IF(LEFT(I273,2)="2x","Double","Single"))</x:f>
        <x:v>Single</x:v>
      </x:c>
      <x:c r="O273" s="109" t="n">
        <x:f>IF(N273="","",IF(N273="Double",Summary!$B$37,Summary!$B$36))</x:f>
        <x:v>5</x:v>
      </x:c>
      <x:c r="P273" s="109" t="str">
        <x:f>IF(K273="","",K273+O273)</x:f>
      </x:c>
      <x:c r="Q273" s="111" t="str">
        <x:f>IF(P273="","",P273*Summary!$B$35)</x:f>
      </x:c>
      <x:c r="R273" s="112" t="n">
        <x:f>IF(N273="","",IF(N273="Double",Summary!$B$39,Summary!$B$38))</x:f>
        <x:v>1.6</x:v>
      </x:c>
      <x:c r="S273" s="113" t="str">
        <x:f>IF(Q273="","",Q273*R273)</x:f>
      </x:c>
    </x:row>
    <x:row r="274">
      <x:c r="A274" s="107"/>
      <x:c r="B274" s="108"/>
      <x:c r="C274" s="108"/>
      <x:c r="D274" s="108"/>
      <x:c r="E274" s="108"/>
      <x:c r="F274" s="108"/>
      <x:c r="G274" s="108"/>
      <x:c r="H274" s="108"/>
      <x:c r="I274" s="108"/>
      <x:c r="J274" s="108"/>
      <x:c r="K274" s="109"/>
      <x:c r="L274" s="110"/>
      <x:c r="M274" s="109" t="str">
        <x:f>IF(OR(K274="",L274=""),"",K274*L274)</x:f>
      </x:c>
      <x:c r="N274" s="108" t="str">
        <x:f>IF(I274="","Single",IF(LEFT(I274,2)="2x","Double","Single"))</x:f>
        <x:v>Single</x:v>
      </x:c>
      <x:c r="O274" s="109" t="n">
        <x:f>IF(N274="","",IF(N274="Double",Summary!$B$37,Summary!$B$36))</x:f>
        <x:v>5</x:v>
      </x:c>
      <x:c r="P274" s="109" t="str">
        <x:f>IF(K274="","",K274+O274)</x:f>
      </x:c>
      <x:c r="Q274" s="111" t="str">
        <x:f>IF(P274="","",P274*Summary!$B$35)</x:f>
      </x:c>
      <x:c r="R274" s="112" t="n">
        <x:f>IF(N274="","",IF(N274="Double",Summary!$B$39,Summary!$B$38))</x:f>
        <x:v>1.6</x:v>
      </x:c>
      <x:c r="S274" s="113" t="str">
        <x:f>IF(Q274="","",Q274*R274)</x:f>
      </x:c>
    </x:row>
    <x:row r="275">
      <x:c r="A275" s="107"/>
      <x:c r="B275" s="108"/>
      <x:c r="C275" s="108"/>
      <x:c r="D275" s="108"/>
      <x:c r="E275" s="108"/>
      <x:c r="F275" s="108"/>
      <x:c r="G275" s="108"/>
      <x:c r="H275" s="108"/>
      <x:c r="I275" s="108"/>
      <x:c r="J275" s="108"/>
      <x:c r="K275" s="109"/>
      <x:c r="L275" s="110"/>
      <x:c r="M275" s="109" t="str">
        <x:f>IF(OR(K275="",L275=""),"",K275*L275)</x:f>
      </x:c>
      <x:c r="N275" s="108" t="str">
        <x:f>IF(I275="","Single",IF(LEFT(I275,2)="2x","Double","Single"))</x:f>
        <x:v>Single</x:v>
      </x:c>
      <x:c r="O275" s="109" t="n">
        <x:f>IF(N275="","",IF(N275="Double",Summary!$B$37,Summary!$B$36))</x:f>
        <x:v>5</x:v>
      </x:c>
      <x:c r="P275" s="109" t="str">
        <x:f>IF(K275="","",K275+O275)</x:f>
      </x:c>
      <x:c r="Q275" s="111" t="str">
        <x:f>IF(P275="","",P275*Summary!$B$35)</x:f>
      </x:c>
      <x:c r="R275" s="112" t="n">
        <x:f>IF(N275="","",IF(N275="Double",Summary!$B$39,Summary!$B$38))</x:f>
        <x:v>1.6</x:v>
      </x:c>
      <x:c r="S275" s="113" t="str">
        <x:f>IF(Q275="","",Q275*R275)</x:f>
      </x:c>
    </x:row>
    <x:row r="276">
      <x:c r="A276" s="107"/>
      <x:c r="B276" s="108"/>
      <x:c r="C276" s="108"/>
      <x:c r="D276" s="108"/>
      <x:c r="E276" s="108"/>
      <x:c r="F276" s="108"/>
      <x:c r="G276" s="108"/>
      <x:c r="H276" s="108"/>
      <x:c r="I276" s="108"/>
      <x:c r="J276" s="108"/>
      <x:c r="K276" s="109"/>
      <x:c r="L276" s="110"/>
      <x:c r="M276" s="109" t="str">
        <x:f>IF(OR(K276="",L276=""),"",K276*L276)</x:f>
      </x:c>
      <x:c r="N276" s="108" t="str">
        <x:f>IF(I276="","Single",IF(LEFT(I276,2)="2x","Double","Single"))</x:f>
        <x:v>Single</x:v>
      </x:c>
      <x:c r="O276" s="109" t="n">
        <x:f>IF(N276="","",IF(N276="Double",Summary!$B$37,Summary!$B$36))</x:f>
        <x:v>5</x:v>
      </x:c>
      <x:c r="P276" s="109" t="str">
        <x:f>IF(K276="","",K276+O276)</x:f>
      </x:c>
      <x:c r="Q276" s="111" t="str">
        <x:f>IF(P276="","",P276*Summary!$B$35)</x:f>
      </x:c>
      <x:c r="R276" s="112" t="n">
        <x:f>IF(N276="","",IF(N276="Double",Summary!$B$39,Summary!$B$38))</x:f>
        <x:v>1.6</x:v>
      </x:c>
      <x:c r="S276" s="113" t="str">
        <x:f>IF(Q276="","",Q276*R276)</x:f>
      </x:c>
    </x:row>
    <x:row r="277">
      <x:c r="A277" s="107"/>
      <x:c r="B277" s="108"/>
      <x:c r="C277" s="108"/>
      <x:c r="D277" s="108"/>
      <x:c r="E277" s="108"/>
      <x:c r="F277" s="108"/>
      <x:c r="G277" s="108"/>
      <x:c r="H277" s="108"/>
      <x:c r="I277" s="108"/>
      <x:c r="J277" s="108"/>
      <x:c r="K277" s="109"/>
      <x:c r="L277" s="110"/>
      <x:c r="M277" s="109" t="str">
        <x:f>IF(OR(K277="",L277=""),"",K277*L277)</x:f>
      </x:c>
      <x:c r="N277" s="108" t="str">
        <x:f>IF(I277="","Single",IF(LEFT(I277,2)="2x","Double","Single"))</x:f>
        <x:v>Single</x:v>
      </x:c>
      <x:c r="O277" s="109" t="n">
        <x:f>IF(N277="","",IF(N277="Double",Summary!$B$37,Summary!$B$36))</x:f>
        <x:v>5</x:v>
      </x:c>
      <x:c r="P277" s="109" t="str">
        <x:f>IF(K277="","",K277+O277)</x:f>
      </x:c>
      <x:c r="Q277" s="111" t="str">
        <x:f>IF(P277="","",P277*Summary!$B$35)</x:f>
      </x:c>
      <x:c r="R277" s="112" t="n">
        <x:f>IF(N277="","",IF(N277="Double",Summary!$B$39,Summary!$B$38))</x:f>
        <x:v>1.6</x:v>
      </x:c>
      <x:c r="S277" s="113" t="str">
        <x:f>IF(Q277="","",Q277*R277)</x:f>
      </x:c>
    </x:row>
    <x:row r="278">
      <x:c r="A278" s="107"/>
      <x:c r="B278" s="108"/>
      <x:c r="C278" s="108"/>
      <x:c r="D278" s="108"/>
      <x:c r="E278" s="108"/>
      <x:c r="F278" s="108"/>
      <x:c r="G278" s="108"/>
      <x:c r="H278" s="108"/>
      <x:c r="I278" s="108"/>
      <x:c r="J278" s="108"/>
      <x:c r="K278" s="109"/>
      <x:c r="L278" s="110"/>
      <x:c r="M278" s="109" t="str">
        <x:f>IF(OR(K278="",L278=""),"",K278*L278)</x:f>
      </x:c>
      <x:c r="N278" s="108" t="str">
        <x:f>IF(I278="","Single",IF(LEFT(I278,2)="2x","Double","Single"))</x:f>
        <x:v>Single</x:v>
      </x:c>
      <x:c r="O278" s="109" t="n">
        <x:f>IF(N278="","",IF(N278="Double",Summary!$B$37,Summary!$B$36))</x:f>
        <x:v>5</x:v>
      </x:c>
      <x:c r="P278" s="109" t="str">
        <x:f>IF(K278="","",K278+O278)</x:f>
      </x:c>
      <x:c r="Q278" s="111" t="str">
        <x:f>IF(P278="","",P278*Summary!$B$35)</x:f>
      </x:c>
      <x:c r="R278" s="112" t="n">
        <x:f>IF(N278="","",IF(N278="Double",Summary!$B$39,Summary!$B$38))</x:f>
        <x:v>1.6</x:v>
      </x:c>
      <x:c r="S278" s="113" t="str">
        <x:f>IF(Q278="","",Q278*R278)</x:f>
      </x:c>
    </x:row>
    <x:row r="279">
      <x:c r="A279" s="107"/>
      <x:c r="B279" s="108"/>
      <x:c r="C279" s="108"/>
      <x:c r="D279" s="108"/>
      <x:c r="E279" s="108"/>
      <x:c r="F279" s="108"/>
      <x:c r="G279" s="108"/>
      <x:c r="H279" s="108"/>
      <x:c r="I279" s="108"/>
      <x:c r="J279" s="108"/>
      <x:c r="K279" s="109"/>
      <x:c r="L279" s="110"/>
      <x:c r="M279" s="109" t="str">
        <x:f>IF(OR(K279="",L279=""),"",K279*L279)</x:f>
      </x:c>
      <x:c r="N279" s="108" t="str">
        <x:f>IF(I279="","Single",IF(LEFT(I279,2)="2x","Double","Single"))</x:f>
        <x:v>Single</x:v>
      </x:c>
      <x:c r="O279" s="109" t="n">
        <x:f>IF(N279="","",IF(N279="Double",Summary!$B$37,Summary!$B$36))</x:f>
        <x:v>5</x:v>
      </x:c>
      <x:c r="P279" s="109" t="str">
        <x:f>IF(K279="","",K279+O279)</x:f>
      </x:c>
      <x:c r="Q279" s="111" t="str">
        <x:f>IF(P279="","",P279*Summary!$B$35)</x:f>
      </x:c>
      <x:c r="R279" s="112" t="n">
        <x:f>IF(N279="","",IF(N279="Double",Summary!$B$39,Summary!$B$38))</x:f>
        <x:v>1.6</x:v>
      </x:c>
      <x:c r="S279" s="113" t="str">
        <x:f>IF(Q279="","",Q279*R279)</x:f>
      </x:c>
    </x:row>
    <x:row r="280">
      <x:c r="A280" s="107"/>
      <x:c r="B280" s="108"/>
      <x:c r="C280" s="108"/>
      <x:c r="D280" s="108"/>
      <x:c r="E280" s="108"/>
      <x:c r="F280" s="108"/>
      <x:c r="G280" s="108"/>
      <x:c r="H280" s="108"/>
      <x:c r="I280" s="108"/>
      <x:c r="J280" s="108"/>
      <x:c r="K280" s="109"/>
      <x:c r="L280" s="110"/>
      <x:c r="M280" s="109" t="str">
        <x:f>IF(OR(K280="",L280=""),"",K280*L280)</x:f>
      </x:c>
      <x:c r="N280" s="108" t="str">
        <x:f>IF(I280="","Single",IF(LEFT(I280,2)="2x","Double","Single"))</x:f>
        <x:v>Single</x:v>
      </x:c>
      <x:c r="O280" s="109" t="n">
        <x:f>IF(N280="","",IF(N280="Double",Summary!$B$37,Summary!$B$36))</x:f>
        <x:v>5</x:v>
      </x:c>
      <x:c r="P280" s="109" t="str">
        <x:f>IF(K280="","",K280+O280)</x:f>
      </x:c>
      <x:c r="Q280" s="111" t="str">
        <x:f>IF(P280="","",P280*Summary!$B$35)</x:f>
      </x:c>
      <x:c r="R280" s="112" t="n">
        <x:f>IF(N280="","",IF(N280="Double",Summary!$B$39,Summary!$B$38))</x:f>
        <x:v>1.6</x:v>
      </x:c>
      <x:c r="S280" s="113" t="str">
        <x:f>IF(Q280="","",Q280*R280)</x:f>
      </x:c>
    </x:row>
    <x:row r="281">
      <x:c r="A281" s="107"/>
      <x:c r="B281" s="108"/>
      <x:c r="C281" s="108"/>
      <x:c r="D281" s="108"/>
      <x:c r="E281" s="108"/>
      <x:c r="F281" s="108"/>
      <x:c r="G281" s="108"/>
      <x:c r="H281" s="108"/>
      <x:c r="I281" s="108"/>
      <x:c r="J281" s="108"/>
      <x:c r="K281" s="109"/>
      <x:c r="L281" s="110"/>
      <x:c r="M281" s="109" t="str">
        <x:f>IF(OR(K281="",L281=""),"",K281*L281)</x:f>
      </x:c>
      <x:c r="N281" s="108" t="str">
        <x:f>IF(I281="","Single",IF(LEFT(I281,2)="2x","Double","Single"))</x:f>
        <x:v>Single</x:v>
      </x:c>
      <x:c r="O281" s="109" t="n">
        <x:f>IF(N281="","",IF(N281="Double",Summary!$B$37,Summary!$B$36))</x:f>
        <x:v>5</x:v>
      </x:c>
      <x:c r="P281" s="109" t="str">
        <x:f>IF(K281="","",K281+O281)</x:f>
      </x:c>
      <x:c r="Q281" s="111" t="str">
        <x:f>IF(P281="","",P281*Summary!$B$35)</x:f>
      </x:c>
      <x:c r="R281" s="112" t="n">
        <x:f>IF(N281="","",IF(N281="Double",Summary!$B$39,Summary!$B$38))</x:f>
        <x:v>1.6</x:v>
      </x:c>
      <x:c r="S281" s="113" t="str">
        <x:f>IF(Q281="","",Q281*R281)</x:f>
      </x:c>
    </x:row>
    <x:row r="282">
      <x:c r="A282" s="107"/>
      <x:c r="B282" s="108"/>
      <x:c r="C282" s="108"/>
      <x:c r="D282" s="108"/>
      <x:c r="E282" s="108"/>
      <x:c r="F282" s="108"/>
      <x:c r="G282" s="108"/>
      <x:c r="H282" s="108"/>
      <x:c r="I282" s="108"/>
      <x:c r="J282" s="108"/>
      <x:c r="K282" s="109"/>
      <x:c r="L282" s="110"/>
      <x:c r="M282" s="109" t="str">
        <x:f>IF(OR(K282="",L282=""),"",K282*L282)</x:f>
      </x:c>
      <x:c r="N282" s="108" t="str">
        <x:f>IF(I282="","Single",IF(LEFT(I282,2)="2x","Double","Single"))</x:f>
        <x:v>Single</x:v>
      </x:c>
      <x:c r="O282" s="109" t="n">
        <x:f>IF(N282="","",IF(N282="Double",Summary!$B$37,Summary!$B$36))</x:f>
        <x:v>5</x:v>
      </x:c>
      <x:c r="P282" s="109" t="str">
        <x:f>IF(K282="","",K282+O282)</x:f>
      </x:c>
      <x:c r="Q282" s="111" t="str">
        <x:f>IF(P282="","",P282*Summary!$B$35)</x:f>
      </x:c>
      <x:c r="R282" s="112" t="n">
        <x:f>IF(N282="","",IF(N282="Double",Summary!$B$39,Summary!$B$38))</x:f>
        <x:v>1.6</x:v>
      </x:c>
      <x:c r="S282" s="113" t="str">
        <x:f>IF(Q282="","",Q282*R282)</x:f>
      </x:c>
    </x:row>
    <x:row r="283">
      <x:c r="A283" s="107"/>
      <x:c r="B283" s="108"/>
      <x:c r="C283" s="108"/>
      <x:c r="D283" s="108"/>
      <x:c r="E283" s="108"/>
      <x:c r="F283" s="108"/>
      <x:c r="G283" s="108"/>
      <x:c r="H283" s="108"/>
      <x:c r="I283" s="108"/>
      <x:c r="J283" s="108"/>
      <x:c r="K283" s="109"/>
      <x:c r="L283" s="110"/>
      <x:c r="M283" s="109" t="str">
        <x:f>IF(OR(K283="",L283=""),"",K283*L283)</x:f>
      </x:c>
      <x:c r="N283" s="108" t="str">
        <x:f>IF(I283="","Single",IF(LEFT(I283,2)="2x","Double","Single"))</x:f>
        <x:v>Single</x:v>
      </x:c>
      <x:c r="O283" s="109" t="n">
        <x:f>IF(N283="","",IF(N283="Double",Summary!$B$37,Summary!$B$36))</x:f>
        <x:v>5</x:v>
      </x:c>
      <x:c r="P283" s="109" t="str">
        <x:f>IF(K283="","",K283+O283)</x:f>
      </x:c>
      <x:c r="Q283" s="111" t="str">
        <x:f>IF(P283="","",P283*Summary!$B$35)</x:f>
      </x:c>
      <x:c r="R283" s="112" t="n">
        <x:f>IF(N283="","",IF(N283="Double",Summary!$B$39,Summary!$B$38))</x:f>
        <x:v>1.6</x:v>
      </x:c>
      <x:c r="S283" s="113" t="str">
        <x:f>IF(Q283="","",Q283*R283)</x:f>
      </x:c>
    </x:row>
    <x:row r="284">
      <x:c r="A284" s="107"/>
      <x:c r="B284" s="108"/>
      <x:c r="C284" s="108"/>
      <x:c r="D284" s="108"/>
      <x:c r="E284" s="108"/>
      <x:c r="F284" s="108"/>
      <x:c r="G284" s="108"/>
      <x:c r="H284" s="108"/>
      <x:c r="I284" s="108"/>
      <x:c r="J284" s="108"/>
      <x:c r="K284" s="109"/>
      <x:c r="L284" s="110"/>
      <x:c r="M284" s="109" t="str">
        <x:f>IF(OR(K284="",L284=""),"",K284*L284)</x:f>
      </x:c>
      <x:c r="N284" s="108" t="str">
        <x:f>IF(I284="","Single",IF(LEFT(I284,2)="2x","Double","Single"))</x:f>
        <x:v>Single</x:v>
      </x:c>
      <x:c r="O284" s="109" t="n">
        <x:f>IF(N284="","",IF(N284="Double",Summary!$B$37,Summary!$B$36))</x:f>
        <x:v>5</x:v>
      </x:c>
      <x:c r="P284" s="109" t="str">
        <x:f>IF(K284="","",K284+O284)</x:f>
      </x:c>
      <x:c r="Q284" s="111" t="str">
        <x:f>IF(P284="","",P284*Summary!$B$35)</x:f>
      </x:c>
      <x:c r="R284" s="112" t="n">
        <x:f>IF(N284="","",IF(N284="Double",Summary!$B$39,Summary!$B$38))</x:f>
        <x:v>1.6</x:v>
      </x:c>
      <x:c r="S284" s="113" t="str">
        <x:f>IF(Q284="","",Q284*R284)</x:f>
      </x:c>
    </x:row>
    <x:row r="285">
      <x:c r="A285" s="107"/>
      <x:c r="B285" s="108"/>
      <x:c r="C285" s="108"/>
      <x:c r="D285" s="108"/>
      <x:c r="E285" s="108"/>
      <x:c r="F285" s="108"/>
      <x:c r="G285" s="108"/>
      <x:c r="H285" s="108"/>
      <x:c r="I285" s="108"/>
      <x:c r="J285" s="108"/>
      <x:c r="K285" s="109"/>
      <x:c r="L285" s="110"/>
      <x:c r="M285" s="109" t="str">
        <x:f>IF(OR(K285="",L285=""),"",K285*L285)</x:f>
      </x:c>
      <x:c r="N285" s="108" t="str">
        <x:f>IF(I285="","Single",IF(LEFT(I285,2)="2x","Double","Single"))</x:f>
        <x:v>Single</x:v>
      </x:c>
      <x:c r="O285" s="109" t="n">
        <x:f>IF(N285="","",IF(N285="Double",Summary!$B$37,Summary!$B$36))</x:f>
        <x:v>5</x:v>
      </x:c>
      <x:c r="P285" s="109" t="str">
        <x:f>IF(K285="","",K285+O285)</x:f>
      </x:c>
      <x:c r="Q285" s="111" t="str">
        <x:f>IF(P285="","",P285*Summary!$B$35)</x:f>
      </x:c>
      <x:c r="R285" s="112" t="n">
        <x:f>IF(N285="","",IF(N285="Double",Summary!$B$39,Summary!$B$38))</x:f>
        <x:v>1.6</x:v>
      </x:c>
      <x:c r="S285" s="113" t="str">
        <x:f>IF(Q285="","",Q285*R285)</x:f>
      </x:c>
    </x:row>
    <x:row r="286">
      <x:c r="A286" s="107"/>
      <x:c r="B286" s="108"/>
      <x:c r="C286" s="108"/>
      <x:c r="D286" s="108"/>
      <x:c r="E286" s="108"/>
      <x:c r="F286" s="108"/>
      <x:c r="G286" s="108"/>
      <x:c r="H286" s="108"/>
      <x:c r="I286" s="108"/>
      <x:c r="J286" s="108"/>
      <x:c r="K286" s="109"/>
      <x:c r="L286" s="110"/>
      <x:c r="M286" s="109" t="str">
        <x:f>IF(OR(K286="",L286=""),"",K286*L286)</x:f>
      </x:c>
      <x:c r="N286" s="108" t="str">
        <x:f>IF(I286="","Single",IF(LEFT(I286,2)="2x","Double","Single"))</x:f>
        <x:v>Single</x:v>
      </x:c>
      <x:c r="O286" s="109" t="n">
        <x:f>IF(N286="","",IF(N286="Double",Summary!$B$37,Summary!$B$36))</x:f>
        <x:v>5</x:v>
      </x:c>
      <x:c r="P286" s="109" t="str">
        <x:f>IF(K286="","",K286+O286)</x:f>
      </x:c>
      <x:c r="Q286" s="111" t="str">
        <x:f>IF(P286="","",P286*Summary!$B$35)</x:f>
      </x:c>
      <x:c r="R286" s="112" t="n">
        <x:f>IF(N286="","",IF(N286="Double",Summary!$B$39,Summary!$B$38))</x:f>
        <x:v>1.6</x:v>
      </x:c>
      <x:c r="S286" s="113" t="str">
        <x:f>IF(Q286="","",Q286*R286)</x:f>
      </x:c>
    </x:row>
    <x:row r="287">
      <x:c r="A287" s="107"/>
      <x:c r="B287" s="108"/>
      <x:c r="C287" s="108"/>
      <x:c r="D287" s="108"/>
      <x:c r="E287" s="108"/>
      <x:c r="F287" s="108"/>
      <x:c r="G287" s="108"/>
      <x:c r="H287" s="108"/>
      <x:c r="I287" s="108"/>
      <x:c r="J287" s="108"/>
      <x:c r="K287" s="109"/>
      <x:c r="L287" s="110"/>
      <x:c r="M287" s="109" t="str">
        <x:f>IF(OR(K287="",L287=""),"",K287*L287)</x:f>
      </x:c>
      <x:c r="N287" s="108" t="str">
        <x:f>IF(I287="","Single",IF(LEFT(I287,2)="2x","Double","Single"))</x:f>
        <x:v>Single</x:v>
      </x:c>
      <x:c r="O287" s="109" t="n">
        <x:f>IF(N287="","",IF(N287="Double",Summary!$B$37,Summary!$B$36))</x:f>
        <x:v>5</x:v>
      </x:c>
      <x:c r="P287" s="109" t="str">
        <x:f>IF(K287="","",K287+O287)</x:f>
      </x:c>
      <x:c r="Q287" s="111" t="str">
        <x:f>IF(P287="","",P287*Summary!$B$35)</x:f>
      </x:c>
      <x:c r="R287" s="112" t="n">
        <x:f>IF(N287="","",IF(N287="Double",Summary!$B$39,Summary!$B$38))</x:f>
        <x:v>1.6</x:v>
      </x:c>
      <x:c r="S287" s="113" t="str">
        <x:f>IF(Q287="","",Q287*R287)</x:f>
      </x:c>
    </x:row>
    <x:row r="288">
      <x:c r="A288" s="107"/>
      <x:c r="B288" s="108"/>
      <x:c r="C288" s="108"/>
      <x:c r="D288" s="108"/>
      <x:c r="E288" s="108"/>
      <x:c r="F288" s="108"/>
      <x:c r="G288" s="108"/>
      <x:c r="H288" s="108"/>
      <x:c r="I288" s="108"/>
      <x:c r="J288" s="108"/>
      <x:c r="K288" s="109"/>
      <x:c r="L288" s="110"/>
      <x:c r="M288" s="109" t="str">
        <x:f>IF(OR(K288="",L288=""),"",K288*L288)</x:f>
      </x:c>
      <x:c r="N288" s="108" t="str">
        <x:f>IF(I288="","Single",IF(LEFT(I288,2)="2x","Double","Single"))</x:f>
        <x:v>Single</x:v>
      </x:c>
      <x:c r="O288" s="109" t="n">
        <x:f>IF(N288="","",IF(N288="Double",Summary!$B$37,Summary!$B$36))</x:f>
        <x:v>5</x:v>
      </x:c>
      <x:c r="P288" s="109" t="str">
        <x:f>IF(K288="","",K288+O288)</x:f>
      </x:c>
      <x:c r="Q288" s="111" t="str">
        <x:f>IF(P288="","",P288*Summary!$B$35)</x:f>
      </x:c>
      <x:c r="R288" s="112" t="n">
        <x:f>IF(N288="","",IF(N288="Double",Summary!$B$39,Summary!$B$38))</x:f>
        <x:v>1.6</x:v>
      </x:c>
      <x:c r="S288" s="113" t="str">
        <x:f>IF(Q288="","",Q288*R288)</x:f>
      </x:c>
    </x:row>
    <x:row r="289">
      <x:c r="A289" s="107"/>
      <x:c r="B289" s="108"/>
      <x:c r="C289" s="108"/>
      <x:c r="D289" s="108"/>
      <x:c r="E289" s="108"/>
      <x:c r="F289" s="108"/>
      <x:c r="G289" s="108"/>
      <x:c r="H289" s="108"/>
      <x:c r="I289" s="108"/>
      <x:c r="J289" s="108"/>
      <x:c r="K289" s="109"/>
      <x:c r="L289" s="110"/>
      <x:c r="M289" s="109" t="str">
        <x:f>IF(OR(K289="",L289=""),"",K289*L289)</x:f>
      </x:c>
      <x:c r="N289" s="108" t="str">
        <x:f>IF(I289="","Single",IF(LEFT(I289,2)="2x","Double","Single"))</x:f>
        <x:v>Single</x:v>
      </x:c>
      <x:c r="O289" s="109" t="n">
        <x:f>IF(N289="","",IF(N289="Double",Summary!$B$37,Summary!$B$36))</x:f>
        <x:v>5</x:v>
      </x:c>
      <x:c r="P289" s="109" t="str">
        <x:f>IF(K289="","",K289+O289)</x:f>
      </x:c>
      <x:c r="Q289" s="111" t="str">
        <x:f>IF(P289="","",P289*Summary!$B$35)</x:f>
      </x:c>
      <x:c r="R289" s="112" t="n">
        <x:f>IF(N289="","",IF(N289="Double",Summary!$B$39,Summary!$B$38))</x:f>
        <x:v>1.6</x:v>
      </x:c>
      <x:c r="S289" s="113" t="str">
        <x:f>IF(Q289="","",Q289*R289)</x:f>
      </x:c>
    </x:row>
    <x:row r="290">
      <x:c r="A290" s="107"/>
      <x:c r="B290" s="108"/>
      <x:c r="C290" s="108"/>
      <x:c r="D290" s="108"/>
      <x:c r="E290" s="108"/>
      <x:c r="F290" s="108"/>
      <x:c r="G290" s="108"/>
      <x:c r="H290" s="108"/>
      <x:c r="I290" s="108"/>
      <x:c r="J290" s="108"/>
      <x:c r="K290" s="109"/>
      <x:c r="L290" s="110"/>
      <x:c r="M290" s="109" t="str">
        <x:f>IF(OR(K290="",L290=""),"",K290*L290)</x:f>
      </x:c>
      <x:c r="N290" s="108" t="str">
        <x:f>IF(I290="","Single",IF(LEFT(I290,2)="2x","Double","Single"))</x:f>
        <x:v>Single</x:v>
      </x:c>
      <x:c r="O290" s="109" t="n">
        <x:f>IF(N290="","",IF(N290="Double",Summary!$B$37,Summary!$B$36))</x:f>
        <x:v>5</x:v>
      </x:c>
      <x:c r="P290" s="109" t="str">
        <x:f>IF(K290="","",K290+O290)</x:f>
      </x:c>
      <x:c r="Q290" s="111" t="str">
        <x:f>IF(P290="","",P290*Summary!$B$35)</x:f>
      </x:c>
      <x:c r="R290" s="112" t="n">
        <x:f>IF(N290="","",IF(N290="Double",Summary!$B$39,Summary!$B$38))</x:f>
        <x:v>1.6</x:v>
      </x:c>
      <x:c r="S290" s="113" t="str">
        <x:f>IF(Q290="","",Q290*R290)</x:f>
      </x:c>
    </x:row>
    <x:row r="291">
      <x:c r="A291" s="107"/>
      <x:c r="B291" s="108"/>
      <x:c r="C291" s="108"/>
      <x:c r="D291" s="108"/>
      <x:c r="E291" s="108"/>
      <x:c r="F291" s="108"/>
      <x:c r="G291" s="108"/>
      <x:c r="H291" s="108"/>
      <x:c r="I291" s="108"/>
      <x:c r="J291" s="108"/>
      <x:c r="K291" s="109"/>
      <x:c r="L291" s="110"/>
      <x:c r="M291" s="109" t="str">
        <x:f>IF(OR(K291="",L291=""),"",K291*L291)</x:f>
      </x:c>
      <x:c r="N291" s="108" t="str">
        <x:f>IF(I291="","Single",IF(LEFT(I291,2)="2x","Double","Single"))</x:f>
        <x:v>Single</x:v>
      </x:c>
      <x:c r="O291" s="109" t="n">
        <x:f>IF(N291="","",IF(N291="Double",Summary!$B$37,Summary!$B$36))</x:f>
        <x:v>5</x:v>
      </x:c>
      <x:c r="P291" s="109" t="str">
        <x:f>IF(K291="","",K291+O291)</x:f>
      </x:c>
      <x:c r="Q291" s="111" t="str">
        <x:f>IF(P291="","",P291*Summary!$B$35)</x:f>
      </x:c>
      <x:c r="R291" s="112" t="n">
        <x:f>IF(N291="","",IF(N291="Double",Summary!$B$39,Summary!$B$38))</x:f>
        <x:v>1.6</x:v>
      </x:c>
      <x:c r="S291" s="113" t="str">
        <x:f>IF(Q291="","",Q291*R291)</x:f>
      </x:c>
    </x:row>
    <x:row r="292">
      <x:c r="A292" s="107"/>
      <x:c r="B292" s="108"/>
      <x:c r="C292" s="108"/>
      <x:c r="D292" s="108"/>
      <x:c r="E292" s="108"/>
      <x:c r="F292" s="108"/>
      <x:c r="G292" s="108"/>
      <x:c r="H292" s="108"/>
      <x:c r="I292" s="108"/>
      <x:c r="J292" s="108"/>
      <x:c r="K292" s="109"/>
      <x:c r="L292" s="110"/>
      <x:c r="M292" s="109" t="str">
        <x:f>IF(OR(K292="",L292=""),"",K292*L292)</x:f>
      </x:c>
      <x:c r="N292" s="108" t="str">
        <x:f>IF(I292="","Single",IF(LEFT(I292,2)="2x","Double","Single"))</x:f>
        <x:v>Single</x:v>
      </x:c>
      <x:c r="O292" s="109" t="n">
        <x:f>IF(N292="","",IF(N292="Double",Summary!$B$37,Summary!$B$36))</x:f>
        <x:v>5</x:v>
      </x:c>
      <x:c r="P292" s="109" t="str">
        <x:f>IF(K292="","",K292+O292)</x:f>
      </x:c>
      <x:c r="Q292" s="111" t="str">
        <x:f>IF(P292="","",P292*Summary!$B$35)</x:f>
      </x:c>
      <x:c r="R292" s="112" t="n">
        <x:f>IF(N292="","",IF(N292="Double",Summary!$B$39,Summary!$B$38))</x:f>
        <x:v>1.6</x:v>
      </x:c>
      <x:c r="S292" s="113" t="str">
        <x:f>IF(Q292="","",Q292*R292)</x:f>
      </x:c>
    </x:row>
    <x:row r="293">
      <x:c r="A293" s="107"/>
      <x:c r="B293" s="108"/>
      <x:c r="C293" s="108"/>
      <x:c r="D293" s="108"/>
      <x:c r="E293" s="108"/>
      <x:c r="F293" s="108"/>
      <x:c r="G293" s="108"/>
      <x:c r="H293" s="108"/>
      <x:c r="I293" s="108"/>
      <x:c r="J293" s="108"/>
      <x:c r="K293" s="109"/>
      <x:c r="L293" s="110"/>
      <x:c r="M293" s="109" t="str">
        <x:f>IF(OR(K293="",L293=""),"",K293*L293)</x:f>
      </x:c>
      <x:c r="N293" s="108" t="str">
        <x:f>IF(I293="","Single",IF(LEFT(I293,2)="2x","Double","Single"))</x:f>
        <x:v>Single</x:v>
      </x:c>
      <x:c r="O293" s="109" t="n">
        <x:f>IF(N293="","",IF(N293="Double",Summary!$B$37,Summary!$B$36))</x:f>
        <x:v>5</x:v>
      </x:c>
      <x:c r="P293" s="109" t="str">
        <x:f>IF(K293="","",K293+O293)</x:f>
      </x:c>
      <x:c r="Q293" s="111" t="str">
        <x:f>IF(P293="","",P293*Summary!$B$35)</x:f>
      </x:c>
      <x:c r="R293" s="112" t="n">
        <x:f>IF(N293="","",IF(N293="Double",Summary!$B$39,Summary!$B$38))</x:f>
        <x:v>1.6</x:v>
      </x:c>
      <x:c r="S293" s="113" t="str">
        <x:f>IF(Q293="","",Q293*R293)</x:f>
      </x:c>
    </x:row>
    <x:row r="294">
      <x:c r="A294" s="107"/>
      <x:c r="B294" s="108"/>
      <x:c r="C294" s="108"/>
      <x:c r="D294" s="108"/>
      <x:c r="E294" s="108"/>
      <x:c r="F294" s="108"/>
      <x:c r="G294" s="108"/>
      <x:c r="H294" s="108"/>
      <x:c r="I294" s="108"/>
      <x:c r="J294" s="108"/>
      <x:c r="K294" s="109"/>
      <x:c r="L294" s="110"/>
      <x:c r="M294" s="109" t="str">
        <x:f>IF(OR(K294="",L294=""),"",K294*L294)</x:f>
      </x:c>
      <x:c r="N294" s="108" t="str">
        <x:f>IF(I294="","Single",IF(LEFT(I294,2)="2x","Double","Single"))</x:f>
        <x:v>Single</x:v>
      </x:c>
      <x:c r="O294" s="109" t="n">
        <x:f>IF(N294="","",IF(N294="Double",Summary!$B$37,Summary!$B$36))</x:f>
        <x:v>5</x:v>
      </x:c>
      <x:c r="P294" s="109" t="str">
        <x:f>IF(K294="","",K294+O294)</x:f>
      </x:c>
      <x:c r="Q294" s="111" t="str">
        <x:f>IF(P294="","",P294*Summary!$B$35)</x:f>
      </x:c>
      <x:c r="R294" s="112" t="n">
        <x:f>IF(N294="","",IF(N294="Double",Summary!$B$39,Summary!$B$38))</x:f>
        <x:v>1.6</x:v>
      </x:c>
      <x:c r="S294" s="113" t="str">
        <x:f>IF(Q294="","",Q294*R294)</x:f>
      </x:c>
    </x:row>
    <x:row r="295">
      <x:c r="A295" s="107"/>
      <x:c r="B295" s="108"/>
      <x:c r="C295" s="108"/>
      <x:c r="D295" s="108"/>
      <x:c r="E295" s="108"/>
      <x:c r="F295" s="108"/>
      <x:c r="G295" s="108"/>
      <x:c r="H295" s="108"/>
      <x:c r="I295" s="108"/>
      <x:c r="J295" s="108"/>
      <x:c r="K295" s="109"/>
      <x:c r="L295" s="110"/>
      <x:c r="M295" s="109" t="str">
        <x:f>IF(OR(K295="",L295=""),"",K295*L295)</x:f>
      </x:c>
      <x:c r="N295" s="108" t="str">
        <x:f>IF(I295="","Single",IF(LEFT(I295,2)="2x","Double","Single"))</x:f>
        <x:v>Single</x:v>
      </x:c>
      <x:c r="O295" s="109" t="n">
        <x:f>IF(N295="","",IF(N295="Double",Summary!$B$37,Summary!$B$36))</x:f>
        <x:v>5</x:v>
      </x:c>
      <x:c r="P295" s="109" t="str">
        <x:f>IF(K295="","",K295+O295)</x:f>
      </x:c>
      <x:c r="Q295" s="111" t="str">
        <x:f>IF(P295="","",P295*Summary!$B$35)</x:f>
      </x:c>
      <x:c r="R295" s="112" t="n">
        <x:f>IF(N295="","",IF(N295="Double",Summary!$B$39,Summary!$B$38))</x:f>
        <x:v>1.6</x:v>
      </x:c>
      <x:c r="S295" s="113" t="str">
        <x:f>IF(Q295="","",Q295*R295)</x:f>
      </x:c>
    </x:row>
    <x:row r="296">
      <x:c r="A296" s="107"/>
      <x:c r="B296" s="108"/>
      <x:c r="C296" s="108"/>
      <x:c r="D296" s="108"/>
      <x:c r="E296" s="108"/>
      <x:c r="F296" s="108"/>
      <x:c r="G296" s="108"/>
      <x:c r="H296" s="108"/>
      <x:c r="I296" s="108"/>
      <x:c r="J296" s="108"/>
      <x:c r="K296" s="109"/>
      <x:c r="L296" s="110"/>
      <x:c r="M296" s="109" t="str">
        <x:f>IF(OR(K296="",L296=""),"",K296*L296)</x:f>
      </x:c>
      <x:c r="N296" s="108" t="str">
        <x:f>IF(I296="","Single",IF(LEFT(I296,2)="2x","Double","Single"))</x:f>
        <x:v>Single</x:v>
      </x:c>
      <x:c r="O296" s="109" t="n">
        <x:f>IF(N296="","",IF(N296="Double",Summary!$B$37,Summary!$B$36))</x:f>
        <x:v>5</x:v>
      </x:c>
      <x:c r="P296" s="109" t="str">
        <x:f>IF(K296="","",K296+O296)</x:f>
      </x:c>
      <x:c r="Q296" s="111" t="str">
        <x:f>IF(P296="","",P296*Summary!$B$35)</x:f>
      </x:c>
      <x:c r="R296" s="112" t="n">
        <x:f>IF(N296="","",IF(N296="Double",Summary!$B$39,Summary!$B$38))</x:f>
        <x:v>1.6</x:v>
      </x:c>
      <x:c r="S296" s="113" t="str">
        <x:f>IF(Q296="","",Q296*R296)</x:f>
      </x:c>
    </x:row>
    <x:row r="297">
      <x:c r="A297" s="107"/>
      <x:c r="B297" s="108"/>
      <x:c r="C297" s="108"/>
      <x:c r="D297" s="108"/>
      <x:c r="E297" s="108"/>
      <x:c r="F297" s="108"/>
      <x:c r="G297" s="108"/>
      <x:c r="H297" s="108"/>
      <x:c r="I297" s="108"/>
      <x:c r="J297" s="108"/>
      <x:c r="K297" s="109"/>
      <x:c r="L297" s="110"/>
      <x:c r="M297" s="109" t="str">
        <x:f>IF(OR(K297="",L297=""),"",K297*L297)</x:f>
      </x:c>
      <x:c r="N297" s="108" t="str">
        <x:f>IF(I297="","Single",IF(LEFT(I297,2)="2x","Double","Single"))</x:f>
        <x:v>Single</x:v>
      </x:c>
      <x:c r="O297" s="109" t="n">
        <x:f>IF(N297="","",IF(N297="Double",Summary!$B$37,Summary!$B$36))</x:f>
        <x:v>5</x:v>
      </x:c>
      <x:c r="P297" s="109" t="str">
        <x:f>IF(K297="","",K297+O297)</x:f>
      </x:c>
      <x:c r="Q297" s="111" t="str">
        <x:f>IF(P297="","",P297*Summary!$B$35)</x:f>
      </x:c>
      <x:c r="R297" s="112" t="n">
        <x:f>IF(N297="","",IF(N297="Double",Summary!$B$39,Summary!$B$38))</x:f>
        <x:v>1.6</x:v>
      </x:c>
      <x:c r="S297" s="113" t="str">
        <x:f>IF(Q297="","",Q297*R297)</x:f>
      </x:c>
    </x:row>
    <x:row r="298">
      <x:c r="A298" s="107"/>
      <x:c r="B298" s="108"/>
      <x:c r="C298" s="108"/>
      <x:c r="D298" s="108"/>
      <x:c r="E298" s="108"/>
      <x:c r="F298" s="108"/>
      <x:c r="G298" s="108"/>
      <x:c r="H298" s="108"/>
      <x:c r="I298" s="108"/>
      <x:c r="J298" s="108"/>
      <x:c r="K298" s="109"/>
      <x:c r="L298" s="110"/>
      <x:c r="M298" s="109" t="str">
        <x:f>IF(OR(K298="",L298=""),"",K298*L298)</x:f>
      </x:c>
      <x:c r="N298" s="108" t="str">
        <x:f>IF(I298="","Single",IF(LEFT(I298,2)="2x","Double","Single"))</x:f>
        <x:v>Single</x:v>
      </x:c>
      <x:c r="O298" s="109" t="n">
        <x:f>IF(N298="","",IF(N298="Double",Summary!$B$37,Summary!$B$36))</x:f>
        <x:v>5</x:v>
      </x:c>
      <x:c r="P298" s="109" t="str">
        <x:f>IF(K298="","",K298+O298)</x:f>
      </x:c>
      <x:c r="Q298" s="111" t="str">
        <x:f>IF(P298="","",P298*Summary!$B$35)</x:f>
      </x:c>
      <x:c r="R298" s="112" t="n">
        <x:f>IF(N298="","",IF(N298="Double",Summary!$B$39,Summary!$B$38))</x:f>
        <x:v>1.6</x:v>
      </x:c>
      <x:c r="S298" s="113" t="str">
        <x:f>IF(Q298="","",Q298*R298)</x:f>
      </x:c>
    </x:row>
    <x:row r="299">
      <x:c r="A299" s="107"/>
      <x:c r="B299" s="108"/>
      <x:c r="C299" s="108"/>
      <x:c r="D299" s="108"/>
      <x:c r="E299" s="108"/>
      <x:c r="F299" s="108"/>
      <x:c r="G299" s="108"/>
      <x:c r="H299" s="108"/>
      <x:c r="I299" s="108"/>
      <x:c r="J299" s="108"/>
      <x:c r="K299" s="109"/>
      <x:c r="L299" s="110"/>
      <x:c r="M299" s="109" t="str">
        <x:f>IF(OR(K299="",L299=""),"",K299*L299)</x:f>
      </x:c>
      <x:c r="N299" s="108" t="str">
        <x:f>IF(I299="","Single",IF(LEFT(I299,2)="2x","Double","Single"))</x:f>
        <x:v>Single</x:v>
      </x:c>
      <x:c r="O299" s="109" t="n">
        <x:f>IF(N299="","",IF(N299="Double",Summary!$B$37,Summary!$B$36))</x:f>
        <x:v>5</x:v>
      </x:c>
      <x:c r="P299" s="109" t="str">
        <x:f>IF(K299="","",K299+O299)</x:f>
      </x:c>
      <x:c r="Q299" s="111" t="str">
        <x:f>IF(P299="","",P299*Summary!$B$35)</x:f>
      </x:c>
      <x:c r="R299" s="112" t="n">
        <x:f>IF(N299="","",IF(N299="Double",Summary!$B$39,Summary!$B$38))</x:f>
        <x:v>1.6</x:v>
      </x:c>
      <x:c r="S299" s="113" t="str">
        <x:f>IF(Q299="","",Q299*R299)</x:f>
      </x:c>
    </x:row>
    <x:row r="300">
      <x:c r="A300" s="107"/>
      <x:c r="B300" s="108"/>
      <x:c r="C300" s="108"/>
      <x:c r="D300" s="108"/>
      <x:c r="E300" s="108"/>
      <x:c r="F300" s="108"/>
      <x:c r="G300" s="108"/>
      <x:c r="H300" s="108"/>
      <x:c r="I300" s="108"/>
      <x:c r="J300" s="108"/>
      <x:c r="K300" s="109"/>
      <x:c r="L300" s="110"/>
      <x:c r="M300" s="109" t="str">
        <x:f>IF(OR(K300="",L300=""),"",K300*L300)</x:f>
      </x:c>
      <x:c r="N300" s="108" t="str">
        <x:f>IF(I300="","Single",IF(LEFT(I300,2)="2x","Double","Single"))</x:f>
        <x:v>Single</x:v>
      </x:c>
      <x:c r="O300" s="109" t="n">
        <x:f>IF(N300="","",IF(N300="Double",Summary!$B$37,Summary!$B$36))</x:f>
        <x:v>5</x:v>
      </x:c>
      <x:c r="P300" s="109" t="str">
        <x:f>IF(K300="","",K300+O300)</x:f>
      </x:c>
      <x:c r="Q300" s="111" t="str">
        <x:f>IF(P300="","",P300*Summary!$B$35)</x:f>
      </x:c>
      <x:c r="R300" s="112" t="n">
        <x:f>IF(N300="","",IF(N300="Double",Summary!$B$39,Summary!$B$38))</x:f>
        <x:v>1.6</x:v>
      </x:c>
      <x:c r="S300" s="113" t="str">
        <x:f>IF(Q300="","",Q300*R300)</x:f>
      </x:c>
    </x:row>
    <x:row r="301">
      <x:c r="A301" s="107"/>
      <x:c r="B301" s="108"/>
      <x:c r="C301" s="108"/>
      <x:c r="D301" s="108"/>
      <x:c r="E301" s="108"/>
      <x:c r="F301" s="108"/>
      <x:c r="G301" s="108"/>
      <x:c r="H301" s="108"/>
      <x:c r="I301" s="108"/>
      <x:c r="J301" s="108"/>
      <x:c r="K301" s="109"/>
      <x:c r="L301" s="110"/>
      <x:c r="M301" s="109" t="str">
        <x:f>IF(OR(K301="",L301=""),"",K301*L301)</x:f>
      </x:c>
      <x:c r="N301" s="108" t="str">
        <x:f>IF(I301="","Single",IF(LEFT(I301,2)="2x","Double","Single"))</x:f>
        <x:v>Single</x:v>
      </x:c>
      <x:c r="O301" s="109" t="n">
        <x:f>IF(N301="","",IF(N301="Double",Summary!$B$37,Summary!$B$36))</x:f>
        <x:v>5</x:v>
      </x:c>
      <x:c r="P301" s="109" t="str">
        <x:f>IF(K301="","",K301+O301)</x:f>
      </x:c>
      <x:c r="Q301" s="111" t="str">
        <x:f>IF(P301="","",P301*Summary!$B$35)</x:f>
      </x:c>
      <x:c r="R301" s="112" t="n">
        <x:f>IF(N301="","",IF(N301="Double",Summary!$B$39,Summary!$B$38))</x:f>
        <x:v>1.6</x:v>
      </x:c>
      <x:c r="S301" s="113" t="str">
        <x:f>IF(Q301="","",Q301*R301)</x:f>
      </x:c>
    </x:row>
    <x:row r="302">
      <x:c r="A302" s="107"/>
      <x:c r="B302" s="108"/>
      <x:c r="C302" s="108"/>
      <x:c r="D302" s="108"/>
      <x:c r="E302" s="108"/>
      <x:c r="F302" s="108"/>
      <x:c r="G302" s="108"/>
      <x:c r="H302" s="108"/>
      <x:c r="I302" s="108"/>
      <x:c r="J302" s="108"/>
      <x:c r="K302" s="109"/>
      <x:c r="L302" s="110"/>
      <x:c r="M302" s="109" t="str">
        <x:f>IF(OR(K302="",L302=""),"",K302*L302)</x:f>
      </x:c>
      <x:c r="N302" s="108" t="str">
        <x:f>IF(I302="","Single",IF(LEFT(I302,2)="2x","Double","Single"))</x:f>
        <x:v>Single</x:v>
      </x:c>
      <x:c r="O302" s="109" t="n">
        <x:f>IF(N302="","",IF(N302="Double",Summary!$B$37,Summary!$B$36))</x:f>
        <x:v>5</x:v>
      </x:c>
      <x:c r="P302" s="109" t="str">
        <x:f>IF(K302="","",K302+O302)</x:f>
      </x:c>
      <x:c r="Q302" s="111" t="str">
        <x:f>IF(P302="","",P302*Summary!$B$35)</x:f>
      </x:c>
      <x:c r="R302" s="112" t="n">
        <x:f>IF(N302="","",IF(N302="Double",Summary!$B$39,Summary!$B$38))</x:f>
        <x:v>1.6</x:v>
      </x:c>
      <x:c r="S302" s="113" t="str">
        <x:f>IF(Q302="","",Q302*R302)</x:f>
      </x:c>
    </x:row>
    <x:row r="303">
      <x:c r="A303" s="107"/>
      <x:c r="B303" s="108"/>
      <x:c r="C303" s="108"/>
      <x:c r="D303" s="108"/>
      <x:c r="E303" s="108"/>
      <x:c r="F303" s="108"/>
      <x:c r="G303" s="108"/>
      <x:c r="H303" s="108"/>
      <x:c r="I303" s="108"/>
      <x:c r="J303" s="108"/>
      <x:c r="K303" s="109"/>
      <x:c r="L303" s="110"/>
      <x:c r="M303" s="109" t="str">
        <x:f>IF(OR(K303="",L303=""),"",K303*L303)</x:f>
      </x:c>
      <x:c r="N303" s="108" t="str">
        <x:f>IF(I303="","Single",IF(LEFT(I303,2)="2x","Double","Single"))</x:f>
        <x:v>Single</x:v>
      </x:c>
      <x:c r="O303" s="109" t="n">
        <x:f>IF(N303="","",IF(N303="Double",Summary!$B$37,Summary!$B$36))</x:f>
        <x:v>5</x:v>
      </x:c>
      <x:c r="P303" s="109" t="str">
        <x:f>IF(K303="","",K303+O303)</x:f>
      </x:c>
      <x:c r="Q303" s="111" t="str">
        <x:f>IF(P303="","",P303*Summary!$B$35)</x:f>
      </x:c>
      <x:c r="R303" s="112" t="n">
        <x:f>IF(N303="","",IF(N303="Double",Summary!$B$39,Summary!$B$38))</x:f>
        <x:v>1.6</x:v>
      </x:c>
      <x:c r="S303" s="113" t="str">
        <x:f>IF(Q303="","",Q303*R303)</x:f>
      </x:c>
    </x:row>
    <x:row r="304">
      <x:c r="A304" s="107"/>
      <x:c r="B304" s="108"/>
      <x:c r="C304" s="108"/>
      <x:c r="D304" s="108"/>
      <x:c r="E304" s="108"/>
      <x:c r="F304" s="108"/>
      <x:c r="G304" s="108"/>
      <x:c r="H304" s="108"/>
      <x:c r="I304" s="108"/>
      <x:c r="J304" s="108"/>
      <x:c r="K304" s="109"/>
      <x:c r="L304" s="110"/>
      <x:c r="M304" s="109" t="str">
        <x:f>IF(OR(K304="",L304=""),"",K304*L304)</x:f>
      </x:c>
      <x:c r="N304" s="108" t="str">
        <x:f>IF(I304="","Single",IF(LEFT(I304,2)="2x","Double","Single"))</x:f>
        <x:v>Single</x:v>
      </x:c>
      <x:c r="O304" s="109" t="n">
        <x:f>IF(N304="","",IF(N304="Double",Summary!$B$37,Summary!$B$36))</x:f>
        <x:v>5</x:v>
      </x:c>
      <x:c r="P304" s="109" t="str">
        <x:f>IF(K304="","",K304+O304)</x:f>
      </x:c>
      <x:c r="Q304" s="111" t="str">
        <x:f>IF(P304="","",P304*Summary!$B$35)</x:f>
      </x:c>
      <x:c r="R304" s="112" t="n">
        <x:f>IF(N304="","",IF(N304="Double",Summary!$B$39,Summary!$B$38))</x:f>
        <x:v>1.6</x:v>
      </x:c>
      <x:c r="S304" s="113" t="str">
        <x:f>IF(Q304="","",Q304*R304)</x:f>
      </x:c>
    </x:row>
    <x:row r="305">
      <x:c r="A305" s="107"/>
      <x:c r="B305" s="108"/>
      <x:c r="C305" s="108"/>
      <x:c r="D305" s="108"/>
      <x:c r="E305" s="108"/>
      <x:c r="F305" s="108"/>
      <x:c r="G305" s="108"/>
      <x:c r="H305" s="108"/>
      <x:c r="I305" s="108"/>
      <x:c r="J305" s="108"/>
      <x:c r="K305" s="109"/>
      <x:c r="L305" s="110"/>
      <x:c r="M305" s="109" t="str">
        <x:f>IF(OR(K305="",L305=""),"",K305*L305)</x:f>
      </x:c>
      <x:c r="N305" s="108" t="str">
        <x:f>IF(I305="","Single",IF(LEFT(I305,2)="2x","Double","Single"))</x:f>
        <x:v>Single</x:v>
      </x:c>
      <x:c r="O305" s="109" t="n">
        <x:f>IF(N305="","",IF(N305="Double",Summary!$B$37,Summary!$B$36))</x:f>
        <x:v>5</x:v>
      </x:c>
      <x:c r="P305" s="109" t="str">
        <x:f>IF(K305="","",K305+O305)</x:f>
      </x:c>
      <x:c r="Q305" s="111" t="str">
        <x:f>IF(P305="","",P305*Summary!$B$35)</x:f>
      </x:c>
      <x:c r="R305" s="112" t="n">
        <x:f>IF(N305="","",IF(N305="Double",Summary!$B$39,Summary!$B$38))</x:f>
        <x:v>1.6</x:v>
      </x:c>
      <x:c r="S305" s="113" t="str">
        <x:f>IF(Q305="","",Q305*R305)</x:f>
      </x:c>
    </x:row>
    <x:row r="306">
      <x:c r="A306" s="107"/>
      <x:c r="B306" s="108"/>
      <x:c r="C306" s="108"/>
      <x:c r="D306" s="108"/>
      <x:c r="E306" s="108"/>
      <x:c r="F306" s="108"/>
      <x:c r="G306" s="108"/>
      <x:c r="H306" s="108"/>
      <x:c r="I306" s="108"/>
      <x:c r="J306" s="108"/>
      <x:c r="K306" s="109"/>
      <x:c r="L306" s="110"/>
      <x:c r="M306" s="109" t="str">
        <x:f>IF(OR(K306="",L306=""),"",K306*L306)</x:f>
      </x:c>
      <x:c r="N306" s="108" t="str">
        <x:f>IF(I306="","Single",IF(LEFT(I306,2)="2x","Double","Single"))</x:f>
        <x:v>Single</x:v>
      </x:c>
      <x:c r="O306" s="109" t="n">
        <x:f>IF(N306="","",IF(N306="Double",Summary!$B$37,Summary!$B$36))</x:f>
        <x:v>5</x:v>
      </x:c>
      <x:c r="P306" s="109" t="str">
        <x:f>IF(K306="","",K306+O306)</x:f>
      </x:c>
      <x:c r="Q306" s="111" t="str">
        <x:f>IF(P306="","",P306*Summary!$B$35)</x:f>
      </x:c>
      <x:c r="R306" s="112" t="n">
        <x:f>IF(N306="","",IF(N306="Double",Summary!$B$39,Summary!$B$38))</x:f>
        <x:v>1.6</x:v>
      </x:c>
      <x:c r="S306" s="113" t="str">
        <x:f>IF(Q306="","",Q306*R306)</x:f>
      </x:c>
    </x:row>
    <x:row r="307">
      <x:c r="A307" s="107"/>
      <x:c r="B307" s="108"/>
      <x:c r="C307" s="108"/>
      <x:c r="D307" s="108"/>
      <x:c r="E307" s="108"/>
      <x:c r="F307" s="108"/>
      <x:c r="G307" s="108"/>
      <x:c r="H307" s="108"/>
      <x:c r="I307" s="108"/>
      <x:c r="J307" s="108"/>
      <x:c r="K307" s="109"/>
      <x:c r="L307" s="110"/>
      <x:c r="M307" s="109" t="str">
        <x:f>IF(OR(K307="",L307=""),"",K307*L307)</x:f>
      </x:c>
      <x:c r="N307" s="108" t="str">
        <x:f>IF(I307="","Single",IF(LEFT(I307,2)="2x","Double","Single"))</x:f>
        <x:v>Single</x:v>
      </x:c>
      <x:c r="O307" s="109" t="n">
        <x:f>IF(N307="","",IF(N307="Double",Summary!$B$37,Summary!$B$36))</x:f>
        <x:v>5</x:v>
      </x:c>
      <x:c r="P307" s="109" t="str">
        <x:f>IF(K307="","",K307+O307)</x:f>
      </x:c>
      <x:c r="Q307" s="111" t="str">
        <x:f>IF(P307="","",P307*Summary!$B$35)</x:f>
      </x:c>
      <x:c r="R307" s="112" t="n">
        <x:f>IF(N307="","",IF(N307="Double",Summary!$B$39,Summary!$B$38))</x:f>
        <x:v>1.6</x:v>
      </x:c>
      <x:c r="S307" s="113" t="str">
        <x:f>IF(Q307="","",Q307*R307)</x:f>
      </x:c>
    </x:row>
    <x:row r="308">
      <x:c r="A308" s="107"/>
      <x:c r="B308" s="108"/>
      <x:c r="C308" s="108"/>
      <x:c r="D308" s="108"/>
      <x:c r="E308" s="108"/>
      <x:c r="F308" s="108"/>
      <x:c r="G308" s="108"/>
      <x:c r="H308" s="108"/>
      <x:c r="I308" s="108"/>
      <x:c r="J308" s="108"/>
      <x:c r="K308" s="109"/>
      <x:c r="L308" s="110"/>
      <x:c r="M308" s="109" t="str">
        <x:f>IF(OR(K308="",L308=""),"",K308*L308)</x:f>
      </x:c>
      <x:c r="N308" s="108" t="str">
        <x:f>IF(I308="","Single",IF(LEFT(I308,2)="2x","Double","Single"))</x:f>
        <x:v>Single</x:v>
      </x:c>
      <x:c r="O308" s="109" t="n">
        <x:f>IF(N308="","",IF(N308="Double",Summary!$B$37,Summary!$B$36))</x:f>
        <x:v>5</x:v>
      </x:c>
      <x:c r="P308" s="109" t="str">
        <x:f>IF(K308="","",K308+O308)</x:f>
      </x:c>
      <x:c r="Q308" s="111" t="str">
        <x:f>IF(P308="","",P308*Summary!$B$35)</x:f>
      </x:c>
      <x:c r="R308" s="112" t="n">
        <x:f>IF(N308="","",IF(N308="Double",Summary!$B$39,Summary!$B$38))</x:f>
        <x:v>1.6</x:v>
      </x:c>
      <x:c r="S308" s="113" t="str">
        <x:f>IF(Q308="","",Q308*R308)</x:f>
      </x:c>
    </x:row>
    <x:row r="309">
      <x:c r="A309" s="107"/>
      <x:c r="B309" s="108"/>
      <x:c r="C309" s="108"/>
      <x:c r="D309" s="108"/>
      <x:c r="E309" s="108"/>
      <x:c r="F309" s="108"/>
      <x:c r="G309" s="108"/>
      <x:c r="H309" s="108"/>
      <x:c r="I309" s="108"/>
      <x:c r="J309" s="108"/>
      <x:c r="K309" s="109"/>
      <x:c r="L309" s="110"/>
      <x:c r="M309" s="109" t="str">
        <x:f>IF(OR(K309="",L309=""),"",K309*L309)</x:f>
      </x:c>
      <x:c r="N309" s="108" t="str">
        <x:f>IF(I309="","Single",IF(LEFT(I309,2)="2x","Double","Single"))</x:f>
        <x:v>Single</x:v>
      </x:c>
      <x:c r="O309" s="109" t="n">
        <x:f>IF(N309="","",IF(N309="Double",Summary!$B$37,Summary!$B$36))</x:f>
        <x:v>5</x:v>
      </x:c>
      <x:c r="P309" s="109" t="str">
        <x:f>IF(K309="","",K309+O309)</x:f>
      </x:c>
      <x:c r="Q309" s="111" t="str">
        <x:f>IF(P309="","",P309*Summary!$B$35)</x:f>
      </x:c>
      <x:c r="R309" s="112" t="n">
        <x:f>IF(N309="","",IF(N309="Double",Summary!$B$39,Summary!$B$38))</x:f>
        <x:v>1.6</x:v>
      </x:c>
      <x:c r="S309" s="113" t="str">
        <x:f>IF(Q309="","",Q309*R309)</x:f>
      </x:c>
    </x:row>
    <x:row r="310">
      <x:c r="A310" s="107"/>
      <x:c r="B310" s="108"/>
      <x:c r="C310" s="108"/>
      <x:c r="D310" s="108"/>
      <x:c r="E310" s="108"/>
      <x:c r="F310" s="108"/>
      <x:c r="G310" s="108"/>
      <x:c r="H310" s="108"/>
      <x:c r="I310" s="108"/>
      <x:c r="J310" s="108"/>
      <x:c r="K310" s="109"/>
      <x:c r="L310" s="110"/>
      <x:c r="M310" s="109" t="str">
        <x:f>IF(OR(K310="",L310=""),"",K310*L310)</x:f>
      </x:c>
      <x:c r="N310" s="108" t="str">
        <x:f>IF(I310="","Single",IF(LEFT(I310,2)="2x","Double","Single"))</x:f>
        <x:v>Single</x:v>
      </x:c>
      <x:c r="O310" s="109" t="n">
        <x:f>IF(N310="","",IF(N310="Double",Summary!$B$37,Summary!$B$36))</x:f>
        <x:v>5</x:v>
      </x:c>
      <x:c r="P310" s="109" t="str">
        <x:f>IF(K310="","",K310+O310)</x:f>
      </x:c>
      <x:c r="Q310" s="111" t="str">
        <x:f>IF(P310="","",P310*Summary!$B$35)</x:f>
      </x:c>
      <x:c r="R310" s="112" t="n">
        <x:f>IF(N310="","",IF(N310="Double",Summary!$B$39,Summary!$B$38))</x:f>
        <x:v>1.6</x:v>
      </x:c>
      <x:c r="S310" s="113" t="str">
        <x:f>IF(Q310="","",Q310*R310)</x:f>
      </x:c>
    </x:row>
    <x:row r="311">
      <x:c r="A311" s="107"/>
      <x:c r="B311" s="108"/>
      <x:c r="C311" s="108"/>
      <x:c r="D311" s="108"/>
      <x:c r="E311" s="108"/>
      <x:c r="F311" s="108"/>
      <x:c r="G311" s="108"/>
      <x:c r="H311" s="108"/>
      <x:c r="I311" s="108"/>
      <x:c r="J311" s="108"/>
      <x:c r="K311" s="109"/>
      <x:c r="L311" s="110"/>
      <x:c r="M311" s="109" t="str">
        <x:f>IF(OR(K311="",L311=""),"",K311*L311)</x:f>
      </x:c>
      <x:c r="N311" s="108" t="str">
        <x:f>IF(I311="","Single",IF(LEFT(I311,2)="2x","Double","Single"))</x:f>
        <x:v>Single</x:v>
      </x:c>
      <x:c r="O311" s="109" t="n">
        <x:f>IF(N311="","",IF(N311="Double",Summary!$B$37,Summary!$B$36))</x:f>
        <x:v>5</x:v>
      </x:c>
      <x:c r="P311" s="109" t="str">
        <x:f>IF(K311="","",K311+O311)</x:f>
      </x:c>
      <x:c r="Q311" s="111" t="str">
        <x:f>IF(P311="","",P311*Summary!$B$35)</x:f>
      </x:c>
      <x:c r="R311" s="112" t="n">
        <x:f>IF(N311="","",IF(N311="Double",Summary!$B$39,Summary!$B$38))</x:f>
        <x:v>1.6</x:v>
      </x:c>
      <x:c r="S311" s="113" t="str">
        <x:f>IF(Q311="","",Q311*R311)</x:f>
      </x:c>
    </x:row>
    <x:row r="312">
      <x:c r="A312" s="107"/>
      <x:c r="B312" s="108"/>
      <x:c r="C312" s="108"/>
      <x:c r="D312" s="108"/>
      <x:c r="E312" s="108"/>
      <x:c r="F312" s="108"/>
      <x:c r="G312" s="108"/>
      <x:c r="H312" s="108"/>
      <x:c r="I312" s="108"/>
      <x:c r="J312" s="108"/>
      <x:c r="K312" s="109"/>
      <x:c r="L312" s="110"/>
      <x:c r="M312" s="109" t="str">
        <x:f>IF(OR(K312="",L312=""),"",K312*L312)</x:f>
      </x:c>
      <x:c r="N312" s="108" t="str">
        <x:f>IF(I312="","Single",IF(LEFT(I312,2)="2x","Double","Single"))</x:f>
        <x:v>Single</x:v>
      </x:c>
      <x:c r="O312" s="109" t="n">
        <x:f>IF(N312="","",IF(N312="Double",Summary!$B$37,Summary!$B$36))</x:f>
        <x:v>5</x:v>
      </x:c>
      <x:c r="P312" s="109" t="str">
        <x:f>IF(K312="","",K312+O312)</x:f>
      </x:c>
      <x:c r="Q312" s="111" t="str">
        <x:f>IF(P312="","",P312*Summary!$B$35)</x:f>
      </x:c>
      <x:c r="R312" s="112" t="n">
        <x:f>IF(N312="","",IF(N312="Double",Summary!$B$39,Summary!$B$38))</x:f>
        <x:v>1.6</x:v>
      </x:c>
      <x:c r="S312" s="113" t="str">
        <x:f>IF(Q312="","",Q312*R312)</x:f>
      </x:c>
    </x:row>
    <x:row r="313">
      <x:c r="A313" s="107"/>
      <x:c r="B313" s="108"/>
      <x:c r="C313" s="108"/>
      <x:c r="D313" s="108"/>
      <x:c r="E313" s="108"/>
      <x:c r="F313" s="108"/>
      <x:c r="G313" s="108"/>
      <x:c r="H313" s="108"/>
      <x:c r="I313" s="108"/>
      <x:c r="J313" s="108"/>
      <x:c r="K313" s="109"/>
      <x:c r="L313" s="110"/>
      <x:c r="M313" s="109" t="str">
        <x:f>IF(OR(K313="",L313=""),"",K313*L313)</x:f>
      </x:c>
      <x:c r="N313" s="108" t="str">
        <x:f>IF(I313="","Single",IF(LEFT(I313,2)="2x","Double","Single"))</x:f>
        <x:v>Single</x:v>
      </x:c>
      <x:c r="O313" s="109" t="n">
        <x:f>IF(N313="","",IF(N313="Double",Summary!$B$37,Summary!$B$36))</x:f>
        <x:v>5</x:v>
      </x:c>
      <x:c r="P313" s="109" t="str">
        <x:f>IF(K313="","",K313+O313)</x:f>
      </x:c>
      <x:c r="Q313" s="111" t="str">
        <x:f>IF(P313="","",P313*Summary!$B$35)</x:f>
      </x:c>
      <x:c r="R313" s="112" t="n">
        <x:f>IF(N313="","",IF(N313="Double",Summary!$B$39,Summary!$B$38))</x:f>
        <x:v>1.6</x:v>
      </x:c>
      <x:c r="S313" s="113" t="str">
        <x:f>IF(Q313="","",Q313*R313)</x:f>
      </x:c>
    </x:row>
    <x:row r="314">
      <x:c r="A314" s="107"/>
      <x:c r="B314" s="108"/>
      <x:c r="C314" s="108"/>
      <x:c r="D314" s="108"/>
      <x:c r="E314" s="108"/>
      <x:c r="F314" s="108"/>
      <x:c r="G314" s="108"/>
      <x:c r="H314" s="108"/>
      <x:c r="I314" s="108"/>
      <x:c r="J314" s="108"/>
      <x:c r="K314" s="109"/>
      <x:c r="L314" s="110"/>
      <x:c r="M314" s="109" t="str">
        <x:f>IF(OR(K314="",L314=""),"",K314*L314)</x:f>
      </x:c>
      <x:c r="N314" s="108" t="str">
        <x:f>IF(I314="","Single",IF(LEFT(I314,2)="2x","Double","Single"))</x:f>
        <x:v>Single</x:v>
      </x:c>
      <x:c r="O314" s="109" t="n">
        <x:f>IF(N314="","",IF(N314="Double",Summary!$B$37,Summary!$B$36))</x:f>
        <x:v>5</x:v>
      </x:c>
      <x:c r="P314" s="109" t="str">
        <x:f>IF(K314="","",K314+O314)</x:f>
      </x:c>
      <x:c r="Q314" s="111" t="str">
        <x:f>IF(P314="","",P314*Summary!$B$35)</x:f>
      </x:c>
      <x:c r="R314" s="112" t="n">
        <x:f>IF(N314="","",IF(N314="Double",Summary!$B$39,Summary!$B$38))</x:f>
        <x:v>1.6</x:v>
      </x:c>
      <x:c r="S314" s="113" t="str">
        <x:f>IF(Q314="","",Q314*R314)</x:f>
      </x:c>
    </x:row>
    <x:row r="315">
      <x:c r="A315" s="107"/>
      <x:c r="B315" s="108"/>
      <x:c r="C315" s="108"/>
      <x:c r="D315" s="108"/>
      <x:c r="E315" s="108"/>
      <x:c r="F315" s="108"/>
      <x:c r="G315" s="108"/>
      <x:c r="H315" s="108"/>
      <x:c r="I315" s="108"/>
      <x:c r="J315" s="108"/>
      <x:c r="K315" s="109"/>
      <x:c r="L315" s="110"/>
      <x:c r="M315" s="109" t="str">
        <x:f>IF(OR(K315="",L315=""),"",K315*L315)</x:f>
      </x:c>
      <x:c r="N315" s="108" t="str">
        <x:f>IF(I315="","Single",IF(LEFT(I315,2)="2x","Double","Single"))</x:f>
        <x:v>Single</x:v>
      </x:c>
      <x:c r="O315" s="109" t="n">
        <x:f>IF(N315="","",IF(N315="Double",Summary!$B$37,Summary!$B$36))</x:f>
        <x:v>5</x:v>
      </x:c>
      <x:c r="P315" s="109" t="str">
        <x:f>IF(K315="","",K315+O315)</x:f>
      </x:c>
      <x:c r="Q315" s="111" t="str">
        <x:f>IF(P315="","",P315*Summary!$B$35)</x:f>
      </x:c>
      <x:c r="R315" s="112" t="n">
        <x:f>IF(N315="","",IF(N315="Double",Summary!$B$39,Summary!$B$38))</x:f>
        <x:v>1.6</x:v>
      </x:c>
      <x:c r="S315" s="113" t="str">
        <x:f>IF(Q315="","",Q315*R315)</x:f>
      </x:c>
    </x:row>
    <x:row r="316">
      <x:c r="A316" s="107"/>
      <x:c r="B316" s="108"/>
      <x:c r="C316" s="108"/>
      <x:c r="D316" s="108"/>
      <x:c r="E316" s="108"/>
      <x:c r="F316" s="108"/>
      <x:c r="G316" s="108"/>
      <x:c r="H316" s="108"/>
      <x:c r="I316" s="108"/>
      <x:c r="J316" s="108"/>
      <x:c r="K316" s="109"/>
      <x:c r="L316" s="110"/>
      <x:c r="M316" s="109" t="str">
        <x:f>IF(OR(K316="",L316=""),"",K316*L316)</x:f>
      </x:c>
      <x:c r="N316" s="108" t="str">
        <x:f>IF(I316="","Single",IF(LEFT(I316,2)="2x","Double","Single"))</x:f>
        <x:v>Single</x:v>
      </x:c>
      <x:c r="O316" s="109" t="n">
        <x:f>IF(N316="","",IF(N316="Double",Summary!$B$37,Summary!$B$36))</x:f>
        <x:v>5</x:v>
      </x:c>
      <x:c r="P316" s="109" t="str">
        <x:f>IF(K316="","",K316+O316)</x:f>
      </x:c>
      <x:c r="Q316" s="111" t="str">
        <x:f>IF(P316="","",P316*Summary!$B$35)</x:f>
      </x:c>
      <x:c r="R316" s="112" t="n">
        <x:f>IF(N316="","",IF(N316="Double",Summary!$B$39,Summary!$B$38))</x:f>
        <x:v>1.6</x:v>
      </x:c>
      <x:c r="S316" s="113" t="str">
        <x:f>IF(Q316="","",Q316*R316)</x:f>
      </x:c>
    </x:row>
    <x:row r="317">
      <x:c r="A317" s="107"/>
      <x:c r="B317" s="108"/>
      <x:c r="C317" s="108"/>
      <x:c r="D317" s="108"/>
      <x:c r="E317" s="108"/>
      <x:c r="F317" s="108"/>
      <x:c r="G317" s="108"/>
      <x:c r="H317" s="108"/>
      <x:c r="I317" s="108"/>
      <x:c r="J317" s="108"/>
      <x:c r="K317" s="109"/>
      <x:c r="L317" s="110"/>
      <x:c r="M317" s="109" t="str">
        <x:f>IF(OR(K317="",L317=""),"",K317*L317)</x:f>
      </x:c>
      <x:c r="N317" s="108" t="str">
        <x:f>IF(I317="","Single",IF(LEFT(I317,2)="2x","Double","Single"))</x:f>
        <x:v>Single</x:v>
      </x:c>
      <x:c r="O317" s="109" t="n">
        <x:f>IF(N317="","",IF(N317="Double",Summary!$B$37,Summary!$B$36))</x:f>
        <x:v>5</x:v>
      </x:c>
      <x:c r="P317" s="109" t="str">
        <x:f>IF(K317="","",K317+O317)</x:f>
      </x:c>
      <x:c r="Q317" s="111" t="str">
        <x:f>IF(P317="","",P317*Summary!$B$35)</x:f>
      </x:c>
      <x:c r="R317" s="112" t="n">
        <x:f>IF(N317="","",IF(N317="Double",Summary!$B$39,Summary!$B$38))</x:f>
        <x:v>1.6</x:v>
      </x:c>
      <x:c r="S317" s="113" t="str">
        <x:f>IF(Q317="","",Q317*R317)</x:f>
      </x:c>
    </x:row>
    <x:row r="318">
      <x:c r="A318" s="107"/>
      <x:c r="B318" s="108"/>
      <x:c r="C318" s="108"/>
      <x:c r="D318" s="108"/>
      <x:c r="E318" s="108"/>
      <x:c r="F318" s="108"/>
      <x:c r="G318" s="108"/>
      <x:c r="H318" s="108"/>
      <x:c r="I318" s="108"/>
      <x:c r="J318" s="108"/>
      <x:c r="K318" s="109"/>
      <x:c r="L318" s="110"/>
      <x:c r="M318" s="109" t="str">
        <x:f>IF(OR(K318="",L318=""),"",K318*L318)</x:f>
      </x:c>
      <x:c r="N318" s="108" t="str">
        <x:f>IF(I318="","Single",IF(LEFT(I318,2)="2x","Double","Single"))</x:f>
        <x:v>Single</x:v>
      </x:c>
      <x:c r="O318" s="109" t="n">
        <x:f>IF(N318="","",IF(N318="Double",Summary!$B$37,Summary!$B$36))</x:f>
        <x:v>5</x:v>
      </x:c>
      <x:c r="P318" s="109" t="str">
        <x:f>IF(K318="","",K318+O318)</x:f>
      </x:c>
      <x:c r="Q318" s="111" t="str">
        <x:f>IF(P318="","",P318*Summary!$B$35)</x:f>
      </x:c>
      <x:c r="R318" s="112" t="n">
        <x:f>IF(N318="","",IF(N318="Double",Summary!$B$39,Summary!$B$38))</x:f>
        <x:v>1.6</x:v>
      </x:c>
      <x:c r="S318" s="113" t="str">
        <x:f>IF(Q318="","",Q318*R318)</x:f>
      </x:c>
    </x:row>
    <x:row r="319">
      <x:c r="A319" s="107"/>
      <x:c r="B319" s="108"/>
      <x:c r="C319" s="108"/>
      <x:c r="D319" s="108"/>
      <x:c r="E319" s="108"/>
      <x:c r="F319" s="108"/>
      <x:c r="G319" s="108"/>
      <x:c r="H319" s="108"/>
      <x:c r="I319" s="108"/>
      <x:c r="J319" s="108"/>
      <x:c r="K319" s="109"/>
      <x:c r="L319" s="110"/>
      <x:c r="M319" s="109" t="str">
        <x:f>IF(OR(K319="",L319=""),"",K319*L319)</x:f>
      </x:c>
      <x:c r="N319" s="108" t="str">
        <x:f>IF(I319="","Single",IF(LEFT(I319,2)="2x","Double","Single"))</x:f>
        <x:v>Single</x:v>
      </x:c>
      <x:c r="O319" s="109" t="n">
        <x:f>IF(N319="","",IF(N319="Double",Summary!$B$37,Summary!$B$36))</x:f>
        <x:v>5</x:v>
      </x:c>
      <x:c r="P319" s="109" t="str">
        <x:f>IF(K319="","",K319+O319)</x:f>
      </x:c>
      <x:c r="Q319" s="111" t="str">
        <x:f>IF(P319="","",P319*Summary!$B$35)</x:f>
      </x:c>
      <x:c r="R319" s="112" t="n">
        <x:f>IF(N319="","",IF(N319="Double",Summary!$B$39,Summary!$B$38))</x:f>
        <x:v>1.6</x:v>
      </x:c>
      <x:c r="S319" s="113" t="str">
        <x:f>IF(Q319="","",Q319*R319)</x:f>
      </x:c>
    </x:row>
    <x:row r="320">
      <x:c r="A320" s="107"/>
      <x:c r="B320" s="108"/>
      <x:c r="C320" s="108"/>
      <x:c r="D320" s="108"/>
      <x:c r="E320" s="108"/>
      <x:c r="F320" s="108"/>
      <x:c r="G320" s="108"/>
      <x:c r="H320" s="108"/>
      <x:c r="I320" s="108"/>
      <x:c r="J320" s="108"/>
      <x:c r="K320" s="109"/>
      <x:c r="L320" s="110"/>
      <x:c r="M320" s="109" t="str">
        <x:f>IF(OR(K320="",L320=""),"",K320*L320)</x:f>
      </x:c>
      <x:c r="N320" s="108" t="str">
        <x:f>IF(I320="","Single",IF(LEFT(I320,2)="2x","Double","Single"))</x:f>
        <x:v>Single</x:v>
      </x:c>
      <x:c r="O320" s="109" t="n">
        <x:f>IF(N320="","",IF(N320="Double",Summary!$B$37,Summary!$B$36))</x:f>
        <x:v>5</x:v>
      </x:c>
      <x:c r="P320" s="109" t="str">
        <x:f>IF(K320="","",K320+O320)</x:f>
      </x:c>
      <x:c r="Q320" s="111" t="str">
        <x:f>IF(P320="","",P320*Summary!$B$35)</x:f>
      </x:c>
      <x:c r="R320" s="112" t="n">
        <x:f>IF(N320="","",IF(N320="Double",Summary!$B$39,Summary!$B$38))</x:f>
        <x:v>1.6</x:v>
      </x:c>
      <x:c r="S320" s="113" t="str">
        <x:f>IF(Q320="","",Q320*R320)</x:f>
      </x:c>
    </x:row>
    <x:row r="321">
      <x:c r="A321" s="107"/>
      <x:c r="B321" s="108"/>
      <x:c r="C321" s="108"/>
      <x:c r="D321" s="108"/>
      <x:c r="E321" s="108"/>
      <x:c r="F321" s="108"/>
      <x:c r="G321" s="108"/>
      <x:c r="H321" s="108"/>
      <x:c r="I321" s="108"/>
      <x:c r="J321" s="108"/>
      <x:c r="K321" s="109"/>
      <x:c r="L321" s="110"/>
      <x:c r="M321" s="109" t="str">
        <x:f>IF(OR(K321="",L321=""),"",K321*L321)</x:f>
      </x:c>
      <x:c r="N321" s="108" t="str">
        <x:f>IF(I321="","Single",IF(LEFT(I321,2)="2x","Double","Single"))</x:f>
        <x:v>Single</x:v>
      </x:c>
      <x:c r="O321" s="109" t="n">
        <x:f>IF(N321="","",IF(N321="Double",Summary!$B$37,Summary!$B$36))</x:f>
        <x:v>5</x:v>
      </x:c>
      <x:c r="P321" s="109" t="str">
        <x:f>IF(K321="","",K321+O321)</x:f>
      </x:c>
      <x:c r="Q321" s="111" t="str">
        <x:f>IF(P321="","",P321*Summary!$B$35)</x:f>
      </x:c>
      <x:c r="R321" s="112" t="n">
        <x:f>IF(N321="","",IF(N321="Double",Summary!$B$39,Summary!$B$38))</x:f>
        <x:v>1.6</x:v>
      </x:c>
      <x:c r="S321" s="113" t="str">
        <x:f>IF(Q321="","",Q321*R321)</x:f>
      </x:c>
    </x:row>
    <x:row r="322">
      <x:c r="A322" s="107"/>
      <x:c r="B322" s="108"/>
      <x:c r="C322" s="108"/>
      <x:c r="D322" s="108"/>
      <x:c r="E322" s="108"/>
      <x:c r="F322" s="108"/>
      <x:c r="G322" s="108"/>
      <x:c r="H322" s="108"/>
      <x:c r="I322" s="108"/>
      <x:c r="J322" s="108"/>
      <x:c r="K322" s="109"/>
      <x:c r="L322" s="110"/>
      <x:c r="M322" s="109" t="str">
        <x:f>IF(OR(K322="",L322=""),"",K322*L322)</x:f>
      </x:c>
      <x:c r="N322" s="108" t="str">
        <x:f>IF(I322="","Single",IF(LEFT(I322,2)="2x","Double","Single"))</x:f>
        <x:v>Single</x:v>
      </x:c>
      <x:c r="O322" s="109" t="n">
        <x:f>IF(N322="","",IF(N322="Double",Summary!$B$37,Summary!$B$36))</x:f>
        <x:v>5</x:v>
      </x:c>
      <x:c r="P322" s="109" t="str">
        <x:f>IF(K322="","",K322+O322)</x:f>
      </x:c>
      <x:c r="Q322" s="111" t="str">
        <x:f>IF(P322="","",P322*Summary!$B$35)</x:f>
      </x:c>
      <x:c r="R322" s="112" t="n">
        <x:f>IF(N322="","",IF(N322="Double",Summary!$B$39,Summary!$B$38))</x:f>
        <x:v>1.6</x:v>
      </x:c>
      <x:c r="S322" s="113" t="str">
        <x:f>IF(Q322="","",Q322*R322)</x:f>
      </x:c>
    </x:row>
    <x:row r="323">
      <x:c r="A323" s="107"/>
      <x:c r="B323" s="108"/>
      <x:c r="C323" s="108"/>
      <x:c r="D323" s="108"/>
      <x:c r="E323" s="108"/>
      <x:c r="F323" s="108"/>
      <x:c r="G323" s="108"/>
      <x:c r="H323" s="108"/>
      <x:c r="I323" s="108"/>
      <x:c r="J323" s="108"/>
      <x:c r="K323" s="109"/>
      <x:c r="L323" s="110"/>
      <x:c r="M323" s="109" t="str">
        <x:f>IF(OR(K323="",L323=""),"",K323*L323)</x:f>
      </x:c>
      <x:c r="N323" s="108" t="str">
        <x:f>IF(I323="","Single",IF(LEFT(I323,2)="2x","Double","Single"))</x:f>
        <x:v>Single</x:v>
      </x:c>
      <x:c r="O323" s="109" t="n">
        <x:f>IF(N323="","",IF(N323="Double",Summary!$B$37,Summary!$B$36))</x:f>
        <x:v>5</x:v>
      </x:c>
      <x:c r="P323" s="109" t="str">
        <x:f>IF(K323="","",K323+O323)</x:f>
      </x:c>
      <x:c r="Q323" s="111" t="str">
        <x:f>IF(P323="","",P323*Summary!$B$35)</x:f>
      </x:c>
      <x:c r="R323" s="112" t="n">
        <x:f>IF(N323="","",IF(N323="Double",Summary!$B$39,Summary!$B$38))</x:f>
        <x:v>1.6</x:v>
      </x:c>
      <x:c r="S323" s="113" t="str">
        <x:f>IF(Q323="","",Q323*R323)</x:f>
      </x:c>
    </x:row>
    <x:row r="324">
      <x:c r="A324" s="107"/>
      <x:c r="B324" s="108"/>
      <x:c r="C324" s="108"/>
      <x:c r="D324" s="108"/>
      <x:c r="E324" s="108"/>
      <x:c r="F324" s="108"/>
      <x:c r="G324" s="108"/>
      <x:c r="H324" s="108"/>
      <x:c r="I324" s="108"/>
      <x:c r="J324" s="108"/>
      <x:c r="K324" s="109"/>
      <x:c r="L324" s="110"/>
      <x:c r="M324" s="109" t="str">
        <x:f>IF(OR(K324="",L324=""),"",K324*L324)</x:f>
      </x:c>
      <x:c r="N324" s="108" t="str">
        <x:f>IF(I324="","Single",IF(LEFT(I324,2)="2x","Double","Single"))</x:f>
        <x:v>Single</x:v>
      </x:c>
      <x:c r="O324" s="109" t="n">
        <x:f>IF(N324="","",IF(N324="Double",Summary!$B$37,Summary!$B$36))</x:f>
        <x:v>5</x:v>
      </x:c>
      <x:c r="P324" s="109" t="str">
        <x:f>IF(K324="","",K324+O324)</x:f>
      </x:c>
      <x:c r="Q324" s="111" t="str">
        <x:f>IF(P324="","",P324*Summary!$B$35)</x:f>
      </x:c>
      <x:c r="R324" s="112" t="n">
        <x:f>IF(N324="","",IF(N324="Double",Summary!$B$39,Summary!$B$38))</x:f>
        <x:v>1.6</x:v>
      </x:c>
      <x:c r="S324" s="113" t="str">
        <x:f>IF(Q324="","",Q324*R324)</x:f>
      </x:c>
    </x:row>
    <x:row r="325">
      <x:c r="A325" s="107"/>
      <x:c r="B325" s="108"/>
      <x:c r="C325" s="108"/>
      <x:c r="D325" s="108"/>
      <x:c r="E325" s="108"/>
      <x:c r="F325" s="108"/>
      <x:c r="G325" s="108"/>
      <x:c r="H325" s="108"/>
      <x:c r="I325" s="108"/>
      <x:c r="J325" s="108"/>
      <x:c r="K325" s="109"/>
      <x:c r="L325" s="110"/>
      <x:c r="M325" s="109" t="str">
        <x:f>IF(OR(K325="",L325=""),"",K325*L325)</x:f>
      </x:c>
      <x:c r="N325" s="108" t="str">
        <x:f>IF(I325="","Single",IF(LEFT(I325,2)="2x","Double","Single"))</x:f>
        <x:v>Single</x:v>
      </x:c>
      <x:c r="O325" s="109" t="n">
        <x:f>IF(N325="","",IF(N325="Double",Summary!$B$37,Summary!$B$36))</x:f>
        <x:v>5</x:v>
      </x:c>
      <x:c r="P325" s="109" t="str">
        <x:f>IF(K325="","",K325+O325)</x:f>
      </x:c>
      <x:c r="Q325" s="111" t="str">
        <x:f>IF(P325="","",P325*Summary!$B$35)</x:f>
      </x:c>
      <x:c r="R325" s="112" t="n">
        <x:f>IF(N325="","",IF(N325="Double",Summary!$B$39,Summary!$B$38))</x:f>
        <x:v>1.6</x:v>
      </x:c>
      <x:c r="S325" s="113" t="str">
        <x:f>IF(Q325="","",Q325*R325)</x:f>
      </x:c>
    </x:row>
    <x:row r="326">
      <x:c r="A326" s="107"/>
      <x:c r="B326" s="108"/>
      <x:c r="C326" s="108"/>
      <x:c r="D326" s="108"/>
      <x:c r="E326" s="108"/>
      <x:c r="F326" s="108"/>
      <x:c r="G326" s="108"/>
      <x:c r="H326" s="108"/>
      <x:c r="I326" s="108"/>
      <x:c r="J326" s="108"/>
      <x:c r="K326" s="109"/>
      <x:c r="L326" s="110"/>
      <x:c r="M326" s="109" t="str">
        <x:f>IF(OR(K326="",L326=""),"",K326*L326)</x:f>
      </x:c>
      <x:c r="N326" s="108" t="str">
        <x:f>IF(I326="","Single",IF(LEFT(I326,2)="2x","Double","Single"))</x:f>
        <x:v>Single</x:v>
      </x:c>
      <x:c r="O326" s="109" t="n">
        <x:f>IF(N326="","",IF(N326="Double",Summary!$B$37,Summary!$B$36))</x:f>
        <x:v>5</x:v>
      </x:c>
      <x:c r="P326" s="109" t="str">
        <x:f>IF(K326="","",K326+O326)</x:f>
      </x:c>
      <x:c r="Q326" s="111" t="str">
        <x:f>IF(P326="","",P326*Summary!$B$35)</x:f>
      </x:c>
      <x:c r="R326" s="112" t="n">
        <x:f>IF(N326="","",IF(N326="Double",Summary!$B$39,Summary!$B$38))</x:f>
        <x:v>1.6</x:v>
      </x:c>
      <x:c r="S326" s="113" t="str">
        <x:f>IF(Q326="","",Q326*R326)</x:f>
      </x:c>
    </x:row>
    <x:row r="327">
      <x:c r="A327" s="107"/>
      <x:c r="B327" s="108"/>
      <x:c r="C327" s="108"/>
      <x:c r="D327" s="108"/>
      <x:c r="E327" s="108"/>
      <x:c r="F327" s="108"/>
      <x:c r="G327" s="108"/>
      <x:c r="H327" s="108"/>
      <x:c r="I327" s="108"/>
      <x:c r="J327" s="108"/>
      <x:c r="K327" s="109"/>
      <x:c r="L327" s="110"/>
      <x:c r="M327" s="109" t="str">
        <x:f>IF(OR(K327="",L327=""),"",K327*L327)</x:f>
      </x:c>
      <x:c r="N327" s="108" t="str">
        <x:f>IF(I327="","Single",IF(LEFT(I327,2)="2x","Double","Single"))</x:f>
        <x:v>Single</x:v>
      </x:c>
      <x:c r="O327" s="109" t="n">
        <x:f>IF(N327="","",IF(N327="Double",Summary!$B$37,Summary!$B$36))</x:f>
        <x:v>5</x:v>
      </x:c>
      <x:c r="P327" s="109" t="str">
        <x:f>IF(K327="","",K327+O327)</x:f>
      </x:c>
      <x:c r="Q327" s="111" t="str">
        <x:f>IF(P327="","",P327*Summary!$B$35)</x:f>
      </x:c>
      <x:c r="R327" s="112" t="n">
        <x:f>IF(N327="","",IF(N327="Double",Summary!$B$39,Summary!$B$38))</x:f>
        <x:v>1.6</x:v>
      </x:c>
      <x:c r="S327" s="113" t="str">
        <x:f>IF(Q327="","",Q327*R327)</x:f>
      </x:c>
    </x:row>
    <x:row r="328">
      <x:c r="A328" s="107"/>
      <x:c r="B328" s="108"/>
      <x:c r="C328" s="108"/>
      <x:c r="D328" s="108"/>
      <x:c r="E328" s="108"/>
      <x:c r="F328" s="108"/>
      <x:c r="G328" s="108"/>
      <x:c r="H328" s="108"/>
      <x:c r="I328" s="108"/>
      <x:c r="J328" s="108"/>
      <x:c r="K328" s="109"/>
      <x:c r="L328" s="110"/>
      <x:c r="M328" s="109" t="str">
        <x:f>IF(OR(K328="",L328=""),"",K328*L328)</x:f>
      </x:c>
      <x:c r="N328" s="108" t="str">
        <x:f>IF(I328="","Single",IF(LEFT(I328,2)="2x","Double","Single"))</x:f>
        <x:v>Single</x:v>
      </x:c>
      <x:c r="O328" s="109" t="n">
        <x:f>IF(N328="","",IF(N328="Double",Summary!$B$37,Summary!$B$36))</x:f>
        <x:v>5</x:v>
      </x:c>
      <x:c r="P328" s="109" t="str">
        <x:f>IF(K328="","",K328+O328)</x:f>
      </x:c>
      <x:c r="Q328" s="111" t="str">
        <x:f>IF(P328="","",P328*Summary!$B$35)</x:f>
      </x:c>
      <x:c r="R328" s="112" t="n">
        <x:f>IF(N328="","",IF(N328="Double",Summary!$B$39,Summary!$B$38))</x:f>
        <x:v>1.6</x:v>
      </x:c>
      <x:c r="S328" s="113" t="str">
        <x:f>IF(Q328="","",Q328*R328)</x:f>
      </x:c>
    </x:row>
    <x:row r="329">
      <x:c r="A329" s="107"/>
      <x:c r="B329" s="108"/>
      <x:c r="C329" s="108"/>
      <x:c r="D329" s="108"/>
      <x:c r="E329" s="108"/>
      <x:c r="F329" s="108"/>
      <x:c r="G329" s="108"/>
      <x:c r="H329" s="108"/>
      <x:c r="I329" s="108"/>
      <x:c r="J329" s="108"/>
      <x:c r="K329" s="109"/>
      <x:c r="L329" s="110"/>
      <x:c r="M329" s="109" t="str">
        <x:f>IF(OR(K329="",L329=""),"",K329*L329)</x:f>
      </x:c>
      <x:c r="N329" s="108" t="str">
        <x:f>IF(I329="","Single",IF(LEFT(I329,2)="2x","Double","Single"))</x:f>
        <x:v>Single</x:v>
      </x:c>
      <x:c r="O329" s="109" t="n">
        <x:f>IF(N329="","",IF(N329="Double",Summary!$B$37,Summary!$B$36))</x:f>
        <x:v>5</x:v>
      </x:c>
      <x:c r="P329" s="109" t="str">
        <x:f>IF(K329="","",K329+O329)</x:f>
      </x:c>
      <x:c r="Q329" s="111" t="str">
        <x:f>IF(P329="","",P329*Summary!$B$35)</x:f>
      </x:c>
      <x:c r="R329" s="112" t="n">
        <x:f>IF(N329="","",IF(N329="Double",Summary!$B$39,Summary!$B$38))</x:f>
        <x:v>1.6</x:v>
      </x:c>
      <x:c r="S329" s="113" t="str">
        <x:f>IF(Q329="","",Q329*R329)</x:f>
      </x:c>
    </x:row>
    <x:row r="330">
      <x:c r="A330" s="107"/>
      <x:c r="B330" s="108"/>
      <x:c r="C330" s="108"/>
      <x:c r="D330" s="108"/>
      <x:c r="E330" s="108"/>
      <x:c r="F330" s="108"/>
      <x:c r="G330" s="108"/>
      <x:c r="H330" s="108"/>
      <x:c r="I330" s="108"/>
      <x:c r="J330" s="108"/>
      <x:c r="K330" s="109"/>
      <x:c r="L330" s="110"/>
      <x:c r="M330" s="109" t="str">
        <x:f>IF(OR(K330="",L330=""),"",K330*L330)</x:f>
      </x:c>
      <x:c r="N330" s="108" t="str">
        <x:f>IF(I330="","Single",IF(LEFT(I330,2)="2x","Double","Single"))</x:f>
        <x:v>Single</x:v>
      </x:c>
      <x:c r="O330" s="109" t="n">
        <x:f>IF(N330="","",IF(N330="Double",Summary!$B$37,Summary!$B$36))</x:f>
        <x:v>5</x:v>
      </x:c>
      <x:c r="P330" s="109" t="str">
        <x:f>IF(K330="","",K330+O330)</x:f>
      </x:c>
      <x:c r="Q330" s="111" t="str">
        <x:f>IF(P330="","",P330*Summary!$B$35)</x:f>
      </x:c>
      <x:c r="R330" s="112" t="n">
        <x:f>IF(N330="","",IF(N330="Double",Summary!$B$39,Summary!$B$38))</x:f>
        <x:v>1.6</x:v>
      </x:c>
      <x:c r="S330" s="113" t="str">
        <x:f>IF(Q330="","",Q330*R330)</x:f>
      </x:c>
    </x:row>
    <x:row r="331">
      <x:c r="A331" s="107"/>
      <x:c r="B331" s="108"/>
      <x:c r="C331" s="108"/>
      <x:c r="D331" s="108"/>
      <x:c r="E331" s="108"/>
      <x:c r="F331" s="108"/>
      <x:c r="G331" s="108"/>
      <x:c r="H331" s="108"/>
      <x:c r="I331" s="108"/>
      <x:c r="J331" s="108"/>
      <x:c r="K331" s="109"/>
      <x:c r="L331" s="110"/>
      <x:c r="M331" s="109" t="str">
        <x:f>IF(OR(K331="",L331=""),"",K331*L331)</x:f>
      </x:c>
      <x:c r="N331" s="108" t="str">
        <x:f>IF(I331="","Single",IF(LEFT(I331,2)="2x","Double","Single"))</x:f>
        <x:v>Single</x:v>
      </x:c>
      <x:c r="O331" s="109" t="n">
        <x:f>IF(N331="","",IF(N331="Double",Summary!$B$37,Summary!$B$36))</x:f>
        <x:v>5</x:v>
      </x:c>
      <x:c r="P331" s="109" t="str">
        <x:f>IF(K331="","",K331+O331)</x:f>
      </x:c>
      <x:c r="Q331" s="111" t="str">
        <x:f>IF(P331="","",P331*Summary!$B$35)</x:f>
      </x:c>
      <x:c r="R331" s="112" t="n">
        <x:f>IF(N331="","",IF(N331="Double",Summary!$B$39,Summary!$B$38))</x:f>
        <x:v>1.6</x:v>
      </x:c>
      <x:c r="S331" s="113" t="str">
        <x:f>IF(Q331="","",Q331*R331)</x:f>
      </x:c>
    </x:row>
    <x:row r="332">
      <x:c r="A332" s="107"/>
      <x:c r="B332" s="108"/>
      <x:c r="C332" s="108"/>
      <x:c r="D332" s="108"/>
      <x:c r="E332" s="108"/>
      <x:c r="F332" s="108"/>
      <x:c r="G332" s="108"/>
      <x:c r="H332" s="108"/>
      <x:c r="I332" s="108"/>
      <x:c r="J332" s="108"/>
      <x:c r="K332" s="109"/>
      <x:c r="L332" s="110"/>
      <x:c r="M332" s="109" t="str">
        <x:f>IF(OR(K332="",L332=""),"",K332*L332)</x:f>
      </x:c>
      <x:c r="N332" s="108" t="str">
        <x:f>IF(I332="","Single",IF(LEFT(I332,2)="2x","Double","Single"))</x:f>
        <x:v>Single</x:v>
      </x:c>
      <x:c r="O332" s="109" t="n">
        <x:f>IF(N332="","",IF(N332="Double",Summary!$B$37,Summary!$B$36))</x:f>
        <x:v>5</x:v>
      </x:c>
      <x:c r="P332" s="109" t="str">
        <x:f>IF(K332="","",K332+O332)</x:f>
      </x:c>
      <x:c r="Q332" s="111" t="str">
        <x:f>IF(P332="","",P332*Summary!$B$35)</x:f>
      </x:c>
      <x:c r="R332" s="112" t="n">
        <x:f>IF(N332="","",IF(N332="Double",Summary!$B$39,Summary!$B$38))</x:f>
        <x:v>1.6</x:v>
      </x:c>
      <x:c r="S332" s="113" t="str">
        <x:f>IF(Q332="","",Q332*R332)</x:f>
      </x:c>
    </x:row>
    <x:row r="333">
      <x:c r="A333" s="107"/>
      <x:c r="B333" s="108"/>
      <x:c r="C333" s="108"/>
      <x:c r="D333" s="108"/>
      <x:c r="E333" s="108"/>
      <x:c r="F333" s="108"/>
      <x:c r="G333" s="108"/>
      <x:c r="H333" s="108"/>
      <x:c r="I333" s="108"/>
      <x:c r="J333" s="108"/>
      <x:c r="K333" s="109"/>
      <x:c r="L333" s="110"/>
      <x:c r="M333" s="109" t="str">
        <x:f>IF(OR(K333="",L333=""),"",K333*L333)</x:f>
      </x:c>
      <x:c r="N333" s="108" t="str">
        <x:f>IF(I333="","Single",IF(LEFT(I333,2)="2x","Double","Single"))</x:f>
        <x:v>Single</x:v>
      </x:c>
      <x:c r="O333" s="109" t="n">
        <x:f>IF(N333="","",IF(N333="Double",Summary!$B$37,Summary!$B$36))</x:f>
        <x:v>5</x:v>
      </x:c>
      <x:c r="P333" s="109" t="str">
        <x:f>IF(K333="","",K333+O333)</x:f>
      </x:c>
      <x:c r="Q333" s="111" t="str">
        <x:f>IF(P333="","",P333*Summary!$B$35)</x:f>
      </x:c>
      <x:c r="R333" s="112" t="n">
        <x:f>IF(N333="","",IF(N333="Double",Summary!$B$39,Summary!$B$38))</x:f>
        <x:v>1.6</x:v>
      </x:c>
      <x:c r="S333" s="113" t="str">
        <x:f>IF(Q333="","",Q333*R333)</x:f>
      </x:c>
    </x:row>
    <x:row r="334">
      <x:c r="A334" s="107"/>
      <x:c r="B334" s="108"/>
      <x:c r="C334" s="108"/>
      <x:c r="D334" s="108"/>
      <x:c r="E334" s="108"/>
      <x:c r="F334" s="108"/>
      <x:c r="G334" s="108"/>
      <x:c r="H334" s="108"/>
      <x:c r="I334" s="108"/>
      <x:c r="J334" s="108"/>
      <x:c r="K334" s="109"/>
      <x:c r="L334" s="110"/>
      <x:c r="M334" s="109" t="str">
        <x:f>IF(OR(K334="",L334=""),"",K334*L334)</x:f>
      </x:c>
      <x:c r="N334" s="108" t="str">
        <x:f>IF(I334="","Single",IF(LEFT(I334,2)="2x","Double","Single"))</x:f>
        <x:v>Single</x:v>
      </x:c>
      <x:c r="O334" s="109" t="n">
        <x:f>IF(N334="","",IF(N334="Double",Summary!$B$37,Summary!$B$36))</x:f>
        <x:v>5</x:v>
      </x:c>
      <x:c r="P334" s="109" t="str">
        <x:f>IF(K334="","",K334+O334)</x:f>
      </x:c>
      <x:c r="Q334" s="111" t="str">
        <x:f>IF(P334="","",P334*Summary!$B$35)</x:f>
      </x:c>
      <x:c r="R334" s="112" t="n">
        <x:f>IF(N334="","",IF(N334="Double",Summary!$B$39,Summary!$B$38))</x:f>
        <x:v>1.6</x:v>
      </x:c>
      <x:c r="S334" s="113" t="str">
        <x:f>IF(Q334="","",Q334*R334)</x:f>
      </x:c>
    </x:row>
    <x:row r="335">
      <x:c r="A335" s="107"/>
      <x:c r="B335" s="108"/>
      <x:c r="C335" s="108"/>
      <x:c r="D335" s="108"/>
      <x:c r="E335" s="108"/>
      <x:c r="F335" s="108"/>
      <x:c r="G335" s="108"/>
      <x:c r="H335" s="108"/>
      <x:c r="I335" s="108"/>
      <x:c r="J335" s="108"/>
      <x:c r="K335" s="109"/>
      <x:c r="L335" s="110"/>
      <x:c r="M335" s="109" t="str">
        <x:f>IF(OR(K335="",L335=""),"",K335*L335)</x:f>
      </x:c>
      <x:c r="N335" s="108" t="str">
        <x:f>IF(I335="","Single",IF(LEFT(I335,2)="2x","Double","Single"))</x:f>
        <x:v>Single</x:v>
      </x:c>
      <x:c r="O335" s="109" t="n">
        <x:f>IF(N335="","",IF(N335="Double",Summary!$B$37,Summary!$B$36))</x:f>
        <x:v>5</x:v>
      </x:c>
      <x:c r="P335" s="109" t="str">
        <x:f>IF(K335="","",K335+O335)</x:f>
      </x:c>
      <x:c r="Q335" s="111" t="str">
        <x:f>IF(P335="","",P335*Summary!$B$35)</x:f>
      </x:c>
      <x:c r="R335" s="112" t="n">
        <x:f>IF(N335="","",IF(N335="Double",Summary!$B$39,Summary!$B$38))</x:f>
        <x:v>1.6</x:v>
      </x:c>
      <x:c r="S335" s="113" t="str">
        <x:f>IF(Q335="","",Q335*R335)</x:f>
      </x:c>
    </x:row>
    <x:row r="336">
      <x:c r="A336" s="107"/>
      <x:c r="B336" s="108"/>
      <x:c r="C336" s="108"/>
      <x:c r="D336" s="108"/>
      <x:c r="E336" s="108"/>
      <x:c r="F336" s="108"/>
      <x:c r="G336" s="108"/>
      <x:c r="H336" s="108"/>
      <x:c r="I336" s="108"/>
      <x:c r="J336" s="108"/>
      <x:c r="K336" s="109"/>
      <x:c r="L336" s="110"/>
      <x:c r="M336" s="109" t="str">
        <x:f>IF(OR(K336="",L336=""),"",K336*L336)</x:f>
      </x:c>
      <x:c r="N336" s="108" t="str">
        <x:f>IF(I336="","Single",IF(LEFT(I336,2)="2x","Double","Single"))</x:f>
        <x:v>Single</x:v>
      </x:c>
      <x:c r="O336" s="109" t="n">
        <x:f>IF(N336="","",IF(N336="Double",Summary!$B$37,Summary!$B$36))</x:f>
        <x:v>5</x:v>
      </x:c>
      <x:c r="P336" s="109" t="str">
        <x:f>IF(K336="","",K336+O336)</x:f>
      </x:c>
      <x:c r="Q336" s="111" t="str">
        <x:f>IF(P336="","",P336*Summary!$B$35)</x:f>
      </x:c>
      <x:c r="R336" s="112" t="n">
        <x:f>IF(N336="","",IF(N336="Double",Summary!$B$39,Summary!$B$38))</x:f>
        <x:v>1.6</x:v>
      </x:c>
      <x:c r="S336" s="113" t="str">
        <x:f>IF(Q336="","",Q336*R336)</x:f>
      </x:c>
    </x:row>
    <x:row r="337">
      <x:c r="A337" s="107"/>
      <x:c r="B337" s="108"/>
      <x:c r="C337" s="108"/>
      <x:c r="D337" s="108"/>
      <x:c r="E337" s="108"/>
      <x:c r="F337" s="108"/>
      <x:c r="G337" s="108"/>
      <x:c r="H337" s="108"/>
      <x:c r="I337" s="108"/>
      <x:c r="J337" s="108"/>
      <x:c r="K337" s="109"/>
      <x:c r="L337" s="110"/>
      <x:c r="M337" s="109" t="str">
        <x:f>IF(OR(K337="",L337=""),"",K337*L337)</x:f>
      </x:c>
      <x:c r="N337" s="108" t="str">
        <x:f>IF(I337="","Single",IF(LEFT(I337,2)="2x","Double","Single"))</x:f>
        <x:v>Single</x:v>
      </x:c>
      <x:c r="O337" s="109" t="n">
        <x:f>IF(N337="","",IF(N337="Double",Summary!$B$37,Summary!$B$36))</x:f>
        <x:v>5</x:v>
      </x:c>
      <x:c r="P337" s="109" t="str">
        <x:f>IF(K337="","",K337+O337)</x:f>
      </x:c>
      <x:c r="Q337" s="111" t="str">
        <x:f>IF(P337="","",P337*Summary!$B$35)</x:f>
      </x:c>
      <x:c r="R337" s="112" t="n">
        <x:f>IF(N337="","",IF(N337="Double",Summary!$B$39,Summary!$B$38))</x:f>
        <x:v>1.6</x:v>
      </x:c>
      <x:c r="S337" s="113" t="str">
        <x:f>IF(Q337="","",Q337*R337)</x:f>
      </x:c>
    </x:row>
    <x:row r="338">
      <x:c r="A338" s="107"/>
      <x:c r="B338" s="108"/>
      <x:c r="C338" s="108"/>
      <x:c r="D338" s="108"/>
      <x:c r="E338" s="108"/>
      <x:c r="F338" s="108"/>
      <x:c r="G338" s="108"/>
      <x:c r="H338" s="108"/>
      <x:c r="I338" s="108"/>
      <x:c r="J338" s="108"/>
      <x:c r="K338" s="109"/>
      <x:c r="L338" s="110"/>
      <x:c r="M338" s="109" t="str">
        <x:f>IF(OR(K338="",L338=""),"",K338*L338)</x:f>
      </x:c>
      <x:c r="N338" s="108" t="str">
        <x:f>IF(I338="","Single",IF(LEFT(I338,2)="2x","Double","Single"))</x:f>
        <x:v>Single</x:v>
      </x:c>
      <x:c r="O338" s="109" t="n">
        <x:f>IF(N338="","",IF(N338="Double",Summary!$B$37,Summary!$B$36))</x:f>
        <x:v>5</x:v>
      </x:c>
      <x:c r="P338" s="109" t="str">
        <x:f>IF(K338="","",K338+O338)</x:f>
      </x:c>
      <x:c r="Q338" s="111" t="str">
        <x:f>IF(P338="","",P338*Summary!$B$35)</x:f>
      </x:c>
      <x:c r="R338" s="112" t="n">
        <x:f>IF(N338="","",IF(N338="Double",Summary!$B$39,Summary!$B$38))</x:f>
        <x:v>1.6</x:v>
      </x:c>
      <x:c r="S338" s="113" t="str">
        <x:f>IF(Q338="","",Q338*R338)</x:f>
      </x:c>
    </x:row>
    <x:row r="339">
      <x:c r="A339" s="107"/>
      <x:c r="B339" s="108"/>
      <x:c r="C339" s="108"/>
      <x:c r="D339" s="108"/>
      <x:c r="E339" s="108"/>
      <x:c r="F339" s="108"/>
      <x:c r="G339" s="108"/>
      <x:c r="H339" s="108"/>
      <x:c r="I339" s="108"/>
      <x:c r="J339" s="108"/>
      <x:c r="K339" s="109"/>
      <x:c r="L339" s="110"/>
      <x:c r="M339" s="109" t="str">
        <x:f>IF(OR(K339="",L339=""),"",K339*L339)</x:f>
      </x:c>
      <x:c r="N339" s="108" t="str">
        <x:f>IF(I339="","Single",IF(LEFT(I339,2)="2x","Double","Single"))</x:f>
        <x:v>Single</x:v>
      </x:c>
      <x:c r="O339" s="109" t="n">
        <x:f>IF(N339="","",IF(N339="Double",Summary!$B$37,Summary!$B$36))</x:f>
        <x:v>5</x:v>
      </x:c>
      <x:c r="P339" s="109" t="str">
        <x:f>IF(K339="","",K339+O339)</x:f>
      </x:c>
      <x:c r="Q339" s="111" t="str">
        <x:f>IF(P339="","",P339*Summary!$B$35)</x:f>
      </x:c>
      <x:c r="R339" s="112" t="n">
        <x:f>IF(N339="","",IF(N339="Double",Summary!$B$39,Summary!$B$38))</x:f>
        <x:v>1.6</x:v>
      </x:c>
      <x:c r="S339" s="113" t="str">
        <x:f>IF(Q339="","",Q339*R339)</x:f>
      </x:c>
    </x:row>
    <x:row r="340">
      <x:c r="A340" s="107"/>
      <x:c r="B340" s="108"/>
      <x:c r="C340" s="108"/>
      <x:c r="D340" s="108"/>
      <x:c r="E340" s="108"/>
      <x:c r="F340" s="108"/>
      <x:c r="G340" s="108"/>
      <x:c r="H340" s="108"/>
      <x:c r="I340" s="108"/>
      <x:c r="J340" s="108"/>
      <x:c r="K340" s="109"/>
      <x:c r="L340" s="110"/>
      <x:c r="M340" s="109" t="str">
        <x:f>IF(OR(K340="",L340=""),"",K340*L340)</x:f>
      </x:c>
      <x:c r="N340" s="108" t="str">
        <x:f>IF(I340="","Single",IF(LEFT(I340,2)="2x","Double","Single"))</x:f>
        <x:v>Single</x:v>
      </x:c>
      <x:c r="O340" s="109" t="n">
        <x:f>IF(N340="","",IF(N340="Double",Summary!$B$37,Summary!$B$36))</x:f>
        <x:v>5</x:v>
      </x:c>
      <x:c r="P340" s="109" t="str">
        <x:f>IF(K340="","",K340+O340)</x:f>
      </x:c>
      <x:c r="Q340" s="111" t="str">
        <x:f>IF(P340="","",P340*Summary!$B$35)</x:f>
      </x:c>
      <x:c r="R340" s="112" t="n">
        <x:f>IF(N340="","",IF(N340="Double",Summary!$B$39,Summary!$B$38))</x:f>
        <x:v>1.6</x:v>
      </x:c>
      <x:c r="S340" s="113" t="str">
        <x:f>IF(Q340="","",Q340*R340)</x:f>
      </x:c>
    </x:row>
    <x:row r="341">
      <x:c r="A341" s="107"/>
      <x:c r="B341" s="108"/>
      <x:c r="C341" s="108"/>
      <x:c r="D341" s="108"/>
      <x:c r="E341" s="108"/>
      <x:c r="F341" s="108"/>
      <x:c r="G341" s="108"/>
      <x:c r="H341" s="108"/>
      <x:c r="I341" s="108"/>
      <x:c r="J341" s="108"/>
      <x:c r="K341" s="109"/>
      <x:c r="L341" s="110"/>
      <x:c r="M341" s="109" t="str">
        <x:f>IF(OR(K341="",L341=""),"",K341*L341)</x:f>
      </x:c>
      <x:c r="N341" s="108" t="str">
        <x:f>IF(I341="","Single",IF(LEFT(I341,2)="2x","Double","Single"))</x:f>
        <x:v>Single</x:v>
      </x:c>
      <x:c r="O341" s="109" t="n">
        <x:f>IF(N341="","",IF(N341="Double",Summary!$B$37,Summary!$B$36))</x:f>
        <x:v>5</x:v>
      </x:c>
      <x:c r="P341" s="109" t="str">
        <x:f>IF(K341="","",K341+O341)</x:f>
      </x:c>
      <x:c r="Q341" s="111" t="str">
        <x:f>IF(P341="","",P341*Summary!$B$35)</x:f>
      </x:c>
      <x:c r="R341" s="112" t="n">
        <x:f>IF(N341="","",IF(N341="Double",Summary!$B$39,Summary!$B$38))</x:f>
        <x:v>1.6</x:v>
      </x:c>
      <x:c r="S341" s="113" t="str">
        <x:f>IF(Q341="","",Q341*R341)</x:f>
      </x:c>
    </x:row>
    <x:row r="342">
      <x:c r="A342" s="107"/>
      <x:c r="B342" s="108"/>
      <x:c r="C342" s="108"/>
      <x:c r="D342" s="108"/>
      <x:c r="E342" s="108"/>
      <x:c r="F342" s="108"/>
      <x:c r="G342" s="108"/>
      <x:c r="H342" s="108"/>
      <x:c r="I342" s="108"/>
      <x:c r="J342" s="108"/>
      <x:c r="K342" s="109"/>
      <x:c r="L342" s="110"/>
      <x:c r="M342" s="109" t="str">
        <x:f>IF(OR(K342="",L342=""),"",K342*L342)</x:f>
      </x:c>
      <x:c r="N342" s="108" t="str">
        <x:f>IF(I342="","Single",IF(LEFT(I342,2)="2x","Double","Single"))</x:f>
        <x:v>Single</x:v>
      </x:c>
      <x:c r="O342" s="109" t="n">
        <x:f>IF(N342="","",IF(N342="Double",Summary!$B$37,Summary!$B$36))</x:f>
        <x:v>5</x:v>
      </x:c>
      <x:c r="P342" s="109" t="str">
        <x:f>IF(K342="","",K342+O342)</x:f>
      </x:c>
      <x:c r="Q342" s="111" t="str">
        <x:f>IF(P342="","",P342*Summary!$B$35)</x:f>
      </x:c>
      <x:c r="R342" s="112" t="n">
        <x:f>IF(N342="","",IF(N342="Double",Summary!$B$39,Summary!$B$38))</x:f>
        <x:v>1.6</x:v>
      </x:c>
      <x:c r="S342" s="113" t="str">
        <x:f>IF(Q342="","",Q342*R342)</x:f>
      </x:c>
    </x:row>
    <x:row r="343">
      <x:c r="A343" s="107"/>
      <x:c r="B343" s="108"/>
      <x:c r="C343" s="108"/>
      <x:c r="D343" s="108"/>
      <x:c r="E343" s="108"/>
      <x:c r="F343" s="108"/>
      <x:c r="G343" s="108"/>
      <x:c r="H343" s="108"/>
      <x:c r="I343" s="108"/>
      <x:c r="J343" s="108"/>
      <x:c r="K343" s="109"/>
      <x:c r="L343" s="110"/>
      <x:c r="M343" s="109" t="str">
        <x:f>IF(OR(K343="",L343=""),"",K343*L343)</x:f>
      </x:c>
      <x:c r="N343" s="108" t="str">
        <x:f>IF(I343="","Single",IF(LEFT(I343,2)="2x","Double","Single"))</x:f>
        <x:v>Single</x:v>
      </x:c>
      <x:c r="O343" s="109" t="n">
        <x:f>IF(N343="","",IF(N343="Double",Summary!$B$37,Summary!$B$36))</x:f>
        <x:v>5</x:v>
      </x:c>
      <x:c r="P343" s="109" t="str">
        <x:f>IF(K343="","",K343+O343)</x:f>
      </x:c>
      <x:c r="Q343" s="111" t="str">
        <x:f>IF(P343="","",P343*Summary!$B$35)</x:f>
      </x:c>
      <x:c r="R343" s="112" t="n">
        <x:f>IF(N343="","",IF(N343="Double",Summary!$B$39,Summary!$B$38))</x:f>
        <x:v>1.6</x:v>
      </x:c>
      <x:c r="S343" s="113" t="str">
        <x:f>IF(Q343="","",Q343*R343)</x:f>
      </x:c>
    </x:row>
    <x:row r="344">
      <x:c r="A344" s="107"/>
      <x:c r="B344" s="108"/>
      <x:c r="C344" s="108"/>
      <x:c r="D344" s="108"/>
      <x:c r="E344" s="108"/>
      <x:c r="F344" s="108"/>
      <x:c r="G344" s="108"/>
      <x:c r="H344" s="108"/>
      <x:c r="I344" s="108"/>
      <x:c r="J344" s="108"/>
      <x:c r="K344" s="109"/>
      <x:c r="L344" s="110"/>
      <x:c r="M344" s="109" t="str">
        <x:f>IF(OR(K344="",L344=""),"",K344*L344)</x:f>
      </x:c>
      <x:c r="N344" s="108" t="str">
        <x:f>IF(I344="","Single",IF(LEFT(I344,2)="2x","Double","Single"))</x:f>
        <x:v>Single</x:v>
      </x:c>
      <x:c r="O344" s="109" t="n">
        <x:f>IF(N344="","",IF(N344="Double",Summary!$B$37,Summary!$B$36))</x:f>
        <x:v>5</x:v>
      </x:c>
      <x:c r="P344" s="109" t="str">
        <x:f>IF(K344="","",K344+O344)</x:f>
      </x:c>
      <x:c r="Q344" s="111" t="str">
        <x:f>IF(P344="","",P344*Summary!$B$35)</x:f>
      </x:c>
      <x:c r="R344" s="112" t="n">
        <x:f>IF(N344="","",IF(N344="Double",Summary!$B$39,Summary!$B$38))</x:f>
        <x:v>1.6</x:v>
      </x:c>
      <x:c r="S344" s="113" t="str">
        <x:f>IF(Q344="","",Q344*R344)</x:f>
      </x:c>
    </x:row>
    <x:row r="345">
      <x:c r="A345" s="107"/>
      <x:c r="B345" s="108"/>
      <x:c r="C345" s="108"/>
      <x:c r="D345" s="108"/>
      <x:c r="E345" s="108"/>
      <x:c r="F345" s="108"/>
      <x:c r="G345" s="108"/>
      <x:c r="H345" s="108"/>
      <x:c r="I345" s="108"/>
      <x:c r="J345" s="108"/>
      <x:c r="K345" s="109"/>
      <x:c r="L345" s="110"/>
      <x:c r="M345" s="109" t="str">
        <x:f>IF(OR(K345="",L345=""),"",K345*L345)</x:f>
      </x:c>
      <x:c r="N345" s="108" t="str">
        <x:f>IF(I345="","Single",IF(LEFT(I345,2)="2x","Double","Single"))</x:f>
        <x:v>Single</x:v>
      </x:c>
      <x:c r="O345" s="109" t="n">
        <x:f>IF(N345="","",IF(N345="Double",Summary!$B$37,Summary!$B$36))</x:f>
        <x:v>5</x:v>
      </x:c>
      <x:c r="P345" s="109" t="str">
        <x:f>IF(K345="","",K345+O345)</x:f>
      </x:c>
      <x:c r="Q345" s="111" t="str">
        <x:f>IF(P345="","",P345*Summary!$B$35)</x:f>
      </x:c>
      <x:c r="R345" s="112" t="n">
        <x:f>IF(N345="","",IF(N345="Double",Summary!$B$39,Summary!$B$38))</x:f>
        <x:v>1.6</x:v>
      </x:c>
      <x:c r="S345" s="113" t="str">
        <x:f>IF(Q345="","",Q345*R345)</x:f>
      </x:c>
    </x:row>
    <x:row r="346">
      <x:c r="A346" s="107"/>
      <x:c r="B346" s="108"/>
      <x:c r="C346" s="108"/>
      <x:c r="D346" s="108"/>
      <x:c r="E346" s="108"/>
      <x:c r="F346" s="108"/>
      <x:c r="G346" s="108"/>
      <x:c r="H346" s="108"/>
      <x:c r="I346" s="108"/>
      <x:c r="J346" s="108"/>
      <x:c r="K346" s="109"/>
      <x:c r="L346" s="110"/>
      <x:c r="M346" s="109" t="str">
        <x:f>IF(OR(K346="",L346=""),"",K346*L346)</x:f>
      </x:c>
      <x:c r="N346" s="108" t="str">
        <x:f>IF(I346="","Single",IF(LEFT(I346,2)="2x","Double","Single"))</x:f>
        <x:v>Single</x:v>
      </x:c>
      <x:c r="O346" s="109" t="n">
        <x:f>IF(N346="","",IF(N346="Double",Summary!$B$37,Summary!$B$36))</x:f>
        <x:v>5</x:v>
      </x:c>
      <x:c r="P346" s="109" t="str">
        <x:f>IF(K346="","",K346+O346)</x:f>
      </x:c>
      <x:c r="Q346" s="111" t="str">
        <x:f>IF(P346="","",P346*Summary!$B$35)</x:f>
      </x:c>
      <x:c r="R346" s="112" t="n">
        <x:f>IF(N346="","",IF(N346="Double",Summary!$B$39,Summary!$B$38))</x:f>
        <x:v>1.6</x:v>
      </x:c>
      <x:c r="S346" s="113" t="str">
        <x:f>IF(Q346="","",Q346*R346)</x:f>
      </x:c>
    </x:row>
    <x:row r="347">
      <x:c r="A347" s="107"/>
      <x:c r="B347" s="108"/>
      <x:c r="C347" s="108"/>
      <x:c r="D347" s="108"/>
      <x:c r="E347" s="108"/>
      <x:c r="F347" s="108"/>
      <x:c r="G347" s="108"/>
      <x:c r="H347" s="108"/>
      <x:c r="I347" s="108"/>
      <x:c r="J347" s="108"/>
      <x:c r="K347" s="109"/>
      <x:c r="L347" s="110"/>
      <x:c r="M347" s="109" t="str">
        <x:f>IF(OR(K347="",L347=""),"",K347*L347)</x:f>
      </x:c>
      <x:c r="N347" s="108" t="str">
        <x:f>IF(I347="","Single",IF(LEFT(I347,2)="2x","Double","Single"))</x:f>
        <x:v>Single</x:v>
      </x:c>
      <x:c r="O347" s="109" t="n">
        <x:f>IF(N347="","",IF(N347="Double",Summary!$B$37,Summary!$B$36))</x:f>
        <x:v>5</x:v>
      </x:c>
      <x:c r="P347" s="109" t="str">
        <x:f>IF(K347="","",K347+O347)</x:f>
      </x:c>
      <x:c r="Q347" s="111" t="str">
        <x:f>IF(P347="","",P347*Summary!$B$35)</x:f>
      </x:c>
      <x:c r="R347" s="112" t="n">
        <x:f>IF(N347="","",IF(N347="Double",Summary!$B$39,Summary!$B$38))</x:f>
        <x:v>1.6</x:v>
      </x:c>
      <x:c r="S347" s="113" t="str">
        <x:f>IF(Q347="","",Q347*R347)</x:f>
      </x:c>
    </x:row>
    <x:row r="348">
      <x:c r="A348" s="107"/>
      <x:c r="B348" s="108"/>
      <x:c r="C348" s="108"/>
      <x:c r="D348" s="108"/>
      <x:c r="E348" s="108"/>
      <x:c r="F348" s="108"/>
      <x:c r="G348" s="108"/>
      <x:c r="H348" s="108"/>
      <x:c r="I348" s="108"/>
      <x:c r="J348" s="108"/>
      <x:c r="K348" s="109"/>
      <x:c r="L348" s="110"/>
      <x:c r="M348" s="109" t="str">
        <x:f>IF(OR(K348="",L348=""),"",K348*L348)</x:f>
      </x:c>
      <x:c r="N348" s="108" t="str">
        <x:f>IF(I348="","Single",IF(LEFT(I348,2)="2x","Double","Single"))</x:f>
        <x:v>Single</x:v>
      </x:c>
      <x:c r="O348" s="109" t="n">
        <x:f>IF(N348="","",IF(N348="Double",Summary!$B$37,Summary!$B$36))</x:f>
        <x:v>5</x:v>
      </x:c>
      <x:c r="P348" s="109" t="str">
        <x:f>IF(K348="","",K348+O348)</x:f>
      </x:c>
      <x:c r="Q348" s="111" t="str">
        <x:f>IF(P348="","",P348*Summary!$B$35)</x:f>
      </x:c>
      <x:c r="R348" s="112" t="n">
        <x:f>IF(N348="","",IF(N348="Double",Summary!$B$39,Summary!$B$38))</x:f>
        <x:v>1.6</x:v>
      </x:c>
      <x:c r="S348" s="113" t="str">
        <x:f>IF(Q348="","",Q348*R348)</x:f>
      </x:c>
    </x:row>
    <x:row r="349">
      <x:c r="A349" s="107"/>
      <x:c r="B349" s="108"/>
      <x:c r="C349" s="108"/>
      <x:c r="D349" s="108"/>
      <x:c r="E349" s="108"/>
      <x:c r="F349" s="108"/>
      <x:c r="G349" s="108"/>
      <x:c r="H349" s="108"/>
      <x:c r="I349" s="108"/>
      <x:c r="J349" s="108"/>
      <x:c r="K349" s="109"/>
      <x:c r="L349" s="110"/>
      <x:c r="M349" s="109" t="str">
        <x:f>IF(OR(K349="",L349=""),"",K349*L349)</x:f>
      </x:c>
      <x:c r="N349" s="108" t="str">
        <x:f>IF(I349="","Single",IF(LEFT(I349,2)="2x","Double","Single"))</x:f>
        <x:v>Single</x:v>
      </x:c>
      <x:c r="O349" s="109" t="n">
        <x:f>IF(N349="","",IF(N349="Double",Summary!$B$37,Summary!$B$36))</x:f>
        <x:v>5</x:v>
      </x:c>
      <x:c r="P349" s="109" t="str">
        <x:f>IF(K349="","",K349+O349)</x:f>
      </x:c>
      <x:c r="Q349" s="111" t="str">
        <x:f>IF(P349="","",P349*Summary!$B$35)</x:f>
      </x:c>
      <x:c r="R349" s="112" t="n">
        <x:f>IF(N349="","",IF(N349="Double",Summary!$B$39,Summary!$B$38))</x:f>
        <x:v>1.6</x:v>
      </x:c>
      <x:c r="S349" s="113" t="str">
        <x:f>IF(Q349="","",Q349*R349)</x:f>
      </x:c>
    </x:row>
    <x:row r="350">
      <x:c r="A350" s="107"/>
      <x:c r="B350" s="108"/>
      <x:c r="C350" s="108"/>
      <x:c r="D350" s="108"/>
      <x:c r="E350" s="108"/>
      <x:c r="F350" s="108"/>
      <x:c r="G350" s="108"/>
      <x:c r="H350" s="108"/>
      <x:c r="I350" s="108"/>
      <x:c r="J350" s="108"/>
      <x:c r="K350" s="109"/>
      <x:c r="L350" s="110"/>
      <x:c r="M350" s="109" t="str">
        <x:f>IF(OR(K350="",L350=""),"",K350*L350)</x:f>
      </x:c>
      <x:c r="N350" s="108" t="str">
        <x:f>IF(I350="","Single",IF(LEFT(I350,2)="2x","Double","Single"))</x:f>
        <x:v>Single</x:v>
      </x:c>
      <x:c r="O350" s="109" t="n">
        <x:f>IF(N350="","",IF(N350="Double",Summary!$B$37,Summary!$B$36))</x:f>
        <x:v>5</x:v>
      </x:c>
      <x:c r="P350" s="109" t="str">
        <x:f>IF(K350="","",K350+O350)</x:f>
      </x:c>
      <x:c r="Q350" s="111" t="str">
        <x:f>IF(P350="","",P350*Summary!$B$35)</x:f>
      </x:c>
      <x:c r="R350" s="112" t="n">
        <x:f>IF(N350="","",IF(N350="Double",Summary!$B$39,Summary!$B$38))</x:f>
        <x:v>1.6</x:v>
      </x:c>
      <x:c r="S350" s="113" t="str">
        <x:f>IF(Q350="","",Q350*R350)</x:f>
      </x:c>
    </x:row>
    <x:row r="351">
      <x:c r="A351" s="107"/>
      <x:c r="B351" s="108"/>
      <x:c r="C351" s="108"/>
      <x:c r="D351" s="108"/>
      <x:c r="E351" s="108"/>
      <x:c r="F351" s="108"/>
      <x:c r="G351" s="108"/>
      <x:c r="H351" s="108"/>
      <x:c r="I351" s="108"/>
      <x:c r="J351" s="108"/>
      <x:c r="K351" s="109"/>
      <x:c r="L351" s="110"/>
      <x:c r="M351" s="109" t="str">
        <x:f>IF(OR(K351="",L351=""),"",K351*L351)</x:f>
      </x:c>
      <x:c r="N351" s="108" t="str">
        <x:f>IF(I351="","Single",IF(LEFT(I351,2)="2x","Double","Single"))</x:f>
        <x:v>Single</x:v>
      </x:c>
      <x:c r="O351" s="109" t="n">
        <x:f>IF(N351="","",IF(N351="Double",Summary!$B$37,Summary!$B$36))</x:f>
        <x:v>5</x:v>
      </x:c>
      <x:c r="P351" s="109" t="str">
        <x:f>IF(K351="","",K351+O351)</x:f>
      </x:c>
      <x:c r="Q351" s="111" t="str">
        <x:f>IF(P351="","",P351*Summary!$B$35)</x:f>
      </x:c>
      <x:c r="R351" s="112" t="n">
        <x:f>IF(N351="","",IF(N351="Double",Summary!$B$39,Summary!$B$38))</x:f>
        <x:v>1.6</x:v>
      </x:c>
      <x:c r="S351" s="113" t="str">
        <x:f>IF(Q351="","",Q351*R351)</x:f>
      </x:c>
    </x:row>
    <x:row r="352">
      <x:c r="A352" s="107"/>
      <x:c r="B352" s="108"/>
      <x:c r="C352" s="108"/>
      <x:c r="D352" s="108"/>
      <x:c r="E352" s="108"/>
      <x:c r="F352" s="108"/>
      <x:c r="G352" s="108"/>
      <x:c r="H352" s="108"/>
      <x:c r="I352" s="108"/>
      <x:c r="J352" s="108"/>
      <x:c r="K352" s="109"/>
      <x:c r="L352" s="110"/>
      <x:c r="M352" s="109" t="str">
        <x:f>IF(OR(K352="",L352=""),"",K352*L352)</x:f>
      </x:c>
      <x:c r="N352" s="108" t="str">
        <x:f>IF(I352="","Single",IF(LEFT(I352,2)="2x","Double","Single"))</x:f>
        <x:v>Single</x:v>
      </x:c>
      <x:c r="O352" s="109" t="n">
        <x:f>IF(N352="","",IF(N352="Double",Summary!$B$37,Summary!$B$36))</x:f>
        <x:v>5</x:v>
      </x:c>
      <x:c r="P352" s="109" t="str">
        <x:f>IF(K352="","",K352+O352)</x:f>
      </x:c>
      <x:c r="Q352" s="111" t="str">
        <x:f>IF(P352="","",P352*Summary!$B$35)</x:f>
      </x:c>
      <x:c r="R352" s="112" t="n">
        <x:f>IF(N352="","",IF(N352="Double",Summary!$B$39,Summary!$B$38))</x:f>
        <x:v>1.6</x:v>
      </x:c>
      <x:c r="S352" s="113" t="str">
        <x:f>IF(Q352="","",Q352*R352)</x:f>
      </x:c>
    </x:row>
    <x:row r="353">
      <x:c r="A353" s="107"/>
      <x:c r="B353" s="108"/>
      <x:c r="C353" s="108"/>
      <x:c r="D353" s="108"/>
      <x:c r="E353" s="108"/>
      <x:c r="F353" s="108"/>
      <x:c r="G353" s="108"/>
      <x:c r="H353" s="108"/>
      <x:c r="I353" s="108"/>
      <x:c r="J353" s="108"/>
      <x:c r="K353" s="109"/>
      <x:c r="L353" s="110"/>
      <x:c r="M353" s="109" t="str">
        <x:f>IF(OR(K353="",L353=""),"",K353*L353)</x:f>
      </x:c>
      <x:c r="N353" s="108" t="str">
        <x:f>IF(I353="","Single",IF(LEFT(I353,2)="2x","Double","Single"))</x:f>
        <x:v>Single</x:v>
      </x:c>
      <x:c r="O353" s="109" t="n">
        <x:f>IF(N353="","",IF(N353="Double",Summary!$B$37,Summary!$B$36))</x:f>
        <x:v>5</x:v>
      </x:c>
      <x:c r="P353" s="109" t="str">
        <x:f>IF(K353="","",K353+O353)</x:f>
      </x:c>
      <x:c r="Q353" s="111" t="str">
        <x:f>IF(P353="","",P353*Summary!$B$35)</x:f>
      </x:c>
      <x:c r="R353" s="112" t="n">
        <x:f>IF(N353="","",IF(N353="Double",Summary!$B$39,Summary!$B$38))</x:f>
        <x:v>1.6</x:v>
      </x:c>
      <x:c r="S353" s="113" t="str">
        <x:f>IF(Q353="","",Q353*R353)</x:f>
      </x:c>
    </x:row>
    <x:row r="354">
      <x:c r="A354" s="107"/>
      <x:c r="B354" s="108"/>
      <x:c r="C354" s="108"/>
      <x:c r="D354" s="108"/>
      <x:c r="E354" s="108"/>
      <x:c r="F354" s="108"/>
      <x:c r="G354" s="108"/>
      <x:c r="H354" s="108"/>
      <x:c r="I354" s="108"/>
      <x:c r="J354" s="108"/>
      <x:c r="K354" s="109"/>
      <x:c r="L354" s="110"/>
      <x:c r="M354" s="109" t="str">
        <x:f>IF(OR(K354="",L354=""),"",K354*L354)</x:f>
      </x:c>
      <x:c r="N354" s="108" t="str">
        <x:f>IF(I354="","Single",IF(LEFT(I354,2)="2x","Double","Single"))</x:f>
        <x:v>Single</x:v>
      </x:c>
      <x:c r="O354" s="109" t="n">
        <x:f>IF(N354="","",IF(N354="Double",Summary!$B$37,Summary!$B$36))</x:f>
        <x:v>5</x:v>
      </x:c>
      <x:c r="P354" s="109" t="str">
        <x:f>IF(K354="","",K354+O354)</x:f>
      </x:c>
      <x:c r="Q354" s="111" t="str">
        <x:f>IF(P354="","",P354*Summary!$B$35)</x:f>
      </x:c>
      <x:c r="R354" s="112" t="n">
        <x:f>IF(N354="","",IF(N354="Double",Summary!$B$39,Summary!$B$38))</x:f>
        <x:v>1.6</x:v>
      </x:c>
      <x:c r="S354" s="113" t="str">
        <x:f>IF(Q354="","",Q354*R354)</x:f>
      </x:c>
    </x:row>
    <x:row r="355">
      <x:c r="A355" s="107"/>
      <x:c r="B355" s="108"/>
      <x:c r="C355" s="108"/>
      <x:c r="D355" s="108"/>
      <x:c r="E355" s="108"/>
      <x:c r="F355" s="108"/>
      <x:c r="G355" s="108"/>
      <x:c r="H355" s="108"/>
      <x:c r="I355" s="108"/>
      <x:c r="J355" s="108"/>
      <x:c r="K355" s="109"/>
      <x:c r="L355" s="110"/>
      <x:c r="M355" s="109" t="str">
        <x:f>IF(OR(K355="",L355=""),"",K355*L355)</x:f>
      </x:c>
      <x:c r="N355" s="108" t="str">
        <x:f>IF(I355="","Single",IF(LEFT(I355,2)="2x","Double","Single"))</x:f>
        <x:v>Single</x:v>
      </x:c>
      <x:c r="O355" s="109" t="n">
        <x:f>IF(N355="","",IF(N355="Double",Summary!$B$37,Summary!$B$36))</x:f>
        <x:v>5</x:v>
      </x:c>
      <x:c r="P355" s="109" t="str">
        <x:f>IF(K355="","",K355+O355)</x:f>
      </x:c>
      <x:c r="Q355" s="111" t="str">
        <x:f>IF(P355="","",P355*Summary!$B$35)</x:f>
      </x:c>
      <x:c r="R355" s="112" t="n">
        <x:f>IF(N355="","",IF(N355="Double",Summary!$B$39,Summary!$B$38))</x:f>
        <x:v>1.6</x:v>
      </x:c>
      <x:c r="S355" s="113" t="str">
        <x:f>IF(Q355="","",Q355*R355)</x:f>
      </x:c>
    </x:row>
    <x:row r="356">
      <x:c r="A356" s="107"/>
      <x:c r="B356" s="108"/>
      <x:c r="C356" s="108"/>
      <x:c r="D356" s="108"/>
      <x:c r="E356" s="108"/>
      <x:c r="F356" s="108"/>
      <x:c r="G356" s="108"/>
      <x:c r="H356" s="108"/>
      <x:c r="I356" s="108"/>
      <x:c r="J356" s="108"/>
      <x:c r="K356" s="109"/>
      <x:c r="L356" s="110"/>
      <x:c r="M356" s="109" t="str">
        <x:f>IF(OR(K356="",L356=""),"",K356*L356)</x:f>
      </x:c>
      <x:c r="N356" s="108" t="str">
        <x:f>IF(I356="","Single",IF(LEFT(I356,2)="2x","Double","Single"))</x:f>
        <x:v>Single</x:v>
      </x:c>
      <x:c r="O356" s="109" t="n">
        <x:f>IF(N356="","",IF(N356="Double",Summary!$B$37,Summary!$B$36))</x:f>
        <x:v>5</x:v>
      </x:c>
      <x:c r="P356" s="109" t="str">
        <x:f>IF(K356="","",K356+O356)</x:f>
      </x:c>
      <x:c r="Q356" s="111" t="str">
        <x:f>IF(P356="","",P356*Summary!$B$35)</x:f>
      </x:c>
      <x:c r="R356" s="112" t="n">
        <x:f>IF(N356="","",IF(N356="Double",Summary!$B$39,Summary!$B$38))</x:f>
        <x:v>1.6</x:v>
      </x:c>
      <x:c r="S356" s="113" t="str">
        <x:f>IF(Q356="","",Q356*R356)</x:f>
      </x:c>
    </x:row>
    <x:row r="357">
      <x:c r="A357" s="107"/>
      <x:c r="B357" s="108"/>
      <x:c r="C357" s="108"/>
      <x:c r="D357" s="108"/>
      <x:c r="E357" s="108"/>
      <x:c r="F357" s="108"/>
      <x:c r="G357" s="108"/>
      <x:c r="H357" s="108"/>
      <x:c r="I357" s="108"/>
      <x:c r="J357" s="108"/>
      <x:c r="K357" s="109"/>
      <x:c r="L357" s="110"/>
      <x:c r="M357" s="109" t="str">
        <x:f>IF(OR(K357="",L357=""),"",K357*L357)</x:f>
      </x:c>
      <x:c r="N357" s="108" t="str">
        <x:f>IF(I357="","Single",IF(LEFT(I357,2)="2x","Double","Single"))</x:f>
        <x:v>Single</x:v>
      </x:c>
      <x:c r="O357" s="109" t="n">
        <x:f>IF(N357="","",IF(N357="Double",Summary!$B$37,Summary!$B$36))</x:f>
        <x:v>5</x:v>
      </x:c>
      <x:c r="P357" s="109" t="str">
        <x:f>IF(K357="","",K357+O357)</x:f>
      </x:c>
      <x:c r="Q357" s="111" t="str">
        <x:f>IF(P357="","",P357*Summary!$B$35)</x:f>
      </x:c>
      <x:c r="R357" s="112" t="n">
        <x:f>IF(N357="","",IF(N357="Double",Summary!$B$39,Summary!$B$38))</x:f>
        <x:v>1.6</x:v>
      </x:c>
      <x:c r="S357" s="113" t="str">
        <x:f>IF(Q357="","",Q357*R357)</x:f>
      </x:c>
    </x:row>
    <x:row r="358">
      <x:c r="A358" s="107"/>
      <x:c r="B358" s="108"/>
      <x:c r="C358" s="108"/>
      <x:c r="D358" s="108"/>
      <x:c r="E358" s="108"/>
      <x:c r="F358" s="108"/>
      <x:c r="G358" s="108"/>
      <x:c r="H358" s="108"/>
      <x:c r="I358" s="108"/>
      <x:c r="J358" s="108"/>
      <x:c r="K358" s="109"/>
      <x:c r="L358" s="110"/>
      <x:c r="M358" s="109" t="str">
        <x:f>IF(OR(K358="",L358=""),"",K358*L358)</x:f>
      </x:c>
      <x:c r="N358" s="108" t="str">
        <x:f>IF(I358="","Single",IF(LEFT(I358,2)="2x","Double","Single"))</x:f>
        <x:v>Single</x:v>
      </x:c>
      <x:c r="O358" s="109" t="n">
        <x:f>IF(N358="","",IF(N358="Double",Summary!$B$37,Summary!$B$36))</x:f>
        <x:v>5</x:v>
      </x:c>
      <x:c r="P358" s="109" t="str">
        <x:f>IF(K358="","",K358+O358)</x:f>
      </x:c>
      <x:c r="Q358" s="111" t="str">
        <x:f>IF(P358="","",P358*Summary!$B$35)</x:f>
      </x:c>
      <x:c r="R358" s="112" t="n">
        <x:f>IF(N358="","",IF(N358="Double",Summary!$B$39,Summary!$B$38))</x:f>
        <x:v>1.6</x:v>
      </x:c>
      <x:c r="S358" s="113" t="str">
        <x:f>IF(Q358="","",Q358*R358)</x:f>
      </x:c>
    </x:row>
    <x:row r="359">
      <x:c r="A359" s="107"/>
      <x:c r="B359" s="108"/>
      <x:c r="C359" s="108"/>
      <x:c r="D359" s="108"/>
      <x:c r="E359" s="108"/>
      <x:c r="F359" s="108"/>
      <x:c r="G359" s="108"/>
      <x:c r="H359" s="108"/>
      <x:c r="I359" s="108"/>
      <x:c r="J359" s="108"/>
      <x:c r="K359" s="109"/>
      <x:c r="L359" s="110"/>
      <x:c r="M359" s="109" t="str">
        <x:f>IF(OR(K359="",L359=""),"",K359*L359)</x:f>
      </x:c>
      <x:c r="N359" s="108" t="str">
        <x:f>IF(I359="","Single",IF(LEFT(I359,2)="2x","Double","Single"))</x:f>
        <x:v>Single</x:v>
      </x:c>
      <x:c r="O359" s="109" t="n">
        <x:f>IF(N359="","",IF(N359="Double",Summary!$B$37,Summary!$B$36))</x:f>
        <x:v>5</x:v>
      </x:c>
      <x:c r="P359" s="109" t="str">
        <x:f>IF(K359="","",K359+O359)</x:f>
      </x:c>
      <x:c r="Q359" s="111" t="str">
        <x:f>IF(P359="","",P359*Summary!$B$35)</x:f>
      </x:c>
      <x:c r="R359" s="112" t="n">
        <x:f>IF(N359="","",IF(N359="Double",Summary!$B$39,Summary!$B$38))</x:f>
        <x:v>1.6</x:v>
      </x:c>
      <x:c r="S359" s="113" t="str">
        <x:f>IF(Q359="","",Q359*R359)</x:f>
      </x:c>
    </x:row>
    <x:row r="360">
      <x:c r="A360" s="107"/>
      <x:c r="B360" s="108"/>
      <x:c r="C360" s="108"/>
      <x:c r="D360" s="108"/>
      <x:c r="E360" s="108"/>
      <x:c r="F360" s="108"/>
      <x:c r="G360" s="108"/>
      <x:c r="H360" s="108"/>
      <x:c r="I360" s="108"/>
      <x:c r="J360" s="108"/>
      <x:c r="K360" s="109"/>
      <x:c r="L360" s="110"/>
      <x:c r="M360" s="109" t="str">
        <x:f>IF(OR(K360="",L360=""),"",K360*L360)</x:f>
      </x:c>
      <x:c r="N360" s="108" t="str">
        <x:f>IF(I360="","Single",IF(LEFT(I360,2)="2x","Double","Single"))</x:f>
        <x:v>Single</x:v>
      </x:c>
      <x:c r="O360" s="109" t="n">
        <x:f>IF(N360="","",IF(N360="Double",Summary!$B$37,Summary!$B$36))</x:f>
        <x:v>5</x:v>
      </x:c>
      <x:c r="P360" s="109" t="str">
        <x:f>IF(K360="","",K360+O360)</x:f>
      </x:c>
      <x:c r="Q360" s="111" t="str">
        <x:f>IF(P360="","",P360*Summary!$B$35)</x:f>
      </x:c>
      <x:c r="R360" s="112" t="n">
        <x:f>IF(N360="","",IF(N360="Double",Summary!$B$39,Summary!$B$38))</x:f>
        <x:v>1.6</x:v>
      </x:c>
      <x:c r="S360" s="113" t="str">
        <x:f>IF(Q360="","",Q360*R360)</x:f>
      </x:c>
    </x:row>
    <x:row r="361">
      <x:c r="A361" s="107"/>
      <x:c r="B361" s="108"/>
      <x:c r="C361" s="108"/>
      <x:c r="D361" s="108"/>
      <x:c r="E361" s="108"/>
      <x:c r="F361" s="108"/>
      <x:c r="G361" s="108"/>
      <x:c r="H361" s="108"/>
      <x:c r="I361" s="108"/>
      <x:c r="J361" s="108"/>
      <x:c r="K361" s="109"/>
      <x:c r="L361" s="110"/>
      <x:c r="M361" s="109" t="str">
        <x:f>IF(OR(K361="",L361=""),"",K361*L361)</x:f>
      </x:c>
      <x:c r="N361" s="108" t="str">
        <x:f>IF(I361="","Single",IF(LEFT(I361,2)="2x","Double","Single"))</x:f>
        <x:v>Single</x:v>
      </x:c>
      <x:c r="O361" s="109" t="n">
        <x:f>IF(N361="","",IF(N361="Double",Summary!$B$37,Summary!$B$36))</x:f>
        <x:v>5</x:v>
      </x:c>
      <x:c r="P361" s="109" t="str">
        <x:f>IF(K361="","",K361+O361)</x:f>
      </x:c>
      <x:c r="Q361" s="111" t="str">
        <x:f>IF(P361="","",P361*Summary!$B$35)</x:f>
      </x:c>
      <x:c r="R361" s="112" t="n">
        <x:f>IF(N361="","",IF(N361="Double",Summary!$B$39,Summary!$B$38))</x:f>
        <x:v>1.6</x:v>
      </x:c>
      <x:c r="S361" s="113" t="str">
        <x:f>IF(Q361="","",Q361*R361)</x:f>
      </x:c>
    </x:row>
    <x:row r="362">
      <x:c r="A362" s="107"/>
      <x:c r="B362" s="108"/>
      <x:c r="C362" s="108"/>
      <x:c r="D362" s="108"/>
      <x:c r="E362" s="108"/>
      <x:c r="F362" s="108"/>
      <x:c r="G362" s="108"/>
      <x:c r="H362" s="108"/>
      <x:c r="I362" s="108"/>
      <x:c r="J362" s="108"/>
      <x:c r="K362" s="109"/>
      <x:c r="L362" s="110"/>
      <x:c r="M362" s="109" t="str">
        <x:f>IF(OR(K362="",L362=""),"",K362*L362)</x:f>
      </x:c>
      <x:c r="N362" s="108" t="str">
        <x:f>IF(I362="","Single",IF(LEFT(I362,2)="2x","Double","Single"))</x:f>
        <x:v>Single</x:v>
      </x:c>
      <x:c r="O362" s="109" t="n">
        <x:f>IF(N362="","",IF(N362="Double",Summary!$B$37,Summary!$B$36))</x:f>
        <x:v>5</x:v>
      </x:c>
      <x:c r="P362" s="109" t="str">
        <x:f>IF(K362="","",K362+O362)</x:f>
      </x:c>
      <x:c r="Q362" s="111" t="str">
        <x:f>IF(P362="","",P362*Summary!$B$35)</x:f>
      </x:c>
      <x:c r="R362" s="112" t="n">
        <x:f>IF(N362="","",IF(N362="Double",Summary!$B$39,Summary!$B$38))</x:f>
        <x:v>1.6</x:v>
      </x:c>
      <x:c r="S362" s="113" t="str">
        <x:f>IF(Q362="","",Q362*R362)</x:f>
      </x:c>
    </x:row>
    <x:row r="363">
      <x:c r="A363" s="107"/>
      <x:c r="B363" s="108"/>
      <x:c r="C363" s="108"/>
      <x:c r="D363" s="108"/>
      <x:c r="E363" s="108"/>
      <x:c r="F363" s="108"/>
      <x:c r="G363" s="108"/>
      <x:c r="H363" s="108"/>
      <x:c r="I363" s="108"/>
      <x:c r="J363" s="108"/>
      <x:c r="K363" s="109"/>
      <x:c r="L363" s="110"/>
      <x:c r="M363" s="109" t="str">
        <x:f>IF(OR(K363="",L363=""),"",K363*L363)</x:f>
      </x:c>
      <x:c r="N363" s="108" t="str">
        <x:f>IF(I363="","Single",IF(LEFT(I363,2)="2x","Double","Single"))</x:f>
        <x:v>Single</x:v>
      </x:c>
      <x:c r="O363" s="109" t="n">
        <x:f>IF(N363="","",IF(N363="Double",Summary!$B$37,Summary!$B$36))</x:f>
        <x:v>5</x:v>
      </x:c>
      <x:c r="P363" s="109" t="str">
        <x:f>IF(K363="","",K363+O363)</x:f>
      </x:c>
      <x:c r="Q363" s="111" t="str">
        <x:f>IF(P363="","",P363*Summary!$B$35)</x:f>
      </x:c>
      <x:c r="R363" s="112" t="n">
        <x:f>IF(N363="","",IF(N363="Double",Summary!$B$39,Summary!$B$38))</x:f>
        <x:v>1.6</x:v>
      </x:c>
      <x:c r="S363" s="113" t="str">
        <x:f>IF(Q363="","",Q363*R363)</x:f>
      </x:c>
    </x:row>
    <x:row r="364">
      <x:c r="A364" s="107"/>
      <x:c r="B364" s="108"/>
      <x:c r="C364" s="108"/>
      <x:c r="D364" s="108"/>
      <x:c r="E364" s="108"/>
      <x:c r="F364" s="108"/>
      <x:c r="G364" s="108"/>
      <x:c r="H364" s="108"/>
      <x:c r="I364" s="108"/>
      <x:c r="J364" s="108"/>
      <x:c r="K364" s="109"/>
      <x:c r="L364" s="110"/>
      <x:c r="M364" s="109" t="str">
        <x:f>IF(OR(K364="",L364=""),"",K364*L364)</x:f>
      </x:c>
      <x:c r="N364" s="108" t="str">
        <x:f>IF(I364="","Single",IF(LEFT(I364,2)="2x","Double","Single"))</x:f>
        <x:v>Single</x:v>
      </x:c>
      <x:c r="O364" s="109" t="n">
        <x:f>IF(N364="","",IF(N364="Double",Summary!$B$37,Summary!$B$36))</x:f>
        <x:v>5</x:v>
      </x:c>
      <x:c r="P364" s="109" t="str">
        <x:f>IF(K364="","",K364+O364)</x:f>
      </x:c>
      <x:c r="Q364" s="111" t="str">
        <x:f>IF(P364="","",P364*Summary!$B$35)</x:f>
      </x:c>
      <x:c r="R364" s="112" t="n">
        <x:f>IF(N364="","",IF(N364="Double",Summary!$B$39,Summary!$B$38))</x:f>
        <x:v>1.6</x:v>
      </x:c>
      <x:c r="S364" s="113" t="str">
        <x:f>IF(Q364="","",Q364*R364)</x:f>
      </x:c>
    </x:row>
    <x:row r="365">
      <x:c r="A365" s="107"/>
      <x:c r="B365" s="108"/>
      <x:c r="C365" s="108"/>
      <x:c r="D365" s="108"/>
      <x:c r="E365" s="108"/>
      <x:c r="F365" s="108"/>
      <x:c r="G365" s="108"/>
      <x:c r="H365" s="108"/>
      <x:c r="I365" s="108"/>
      <x:c r="J365" s="108"/>
      <x:c r="K365" s="109"/>
      <x:c r="L365" s="110"/>
      <x:c r="M365" s="109" t="str">
        <x:f>IF(OR(K365="",L365=""),"",K365*L365)</x:f>
      </x:c>
      <x:c r="N365" s="108" t="str">
        <x:f>IF(I365="","Single",IF(LEFT(I365,2)="2x","Double","Single"))</x:f>
        <x:v>Single</x:v>
      </x:c>
      <x:c r="O365" s="109" t="n">
        <x:f>IF(N365="","",IF(N365="Double",Summary!$B$37,Summary!$B$36))</x:f>
        <x:v>5</x:v>
      </x:c>
      <x:c r="P365" s="109" t="str">
        <x:f>IF(K365="","",K365+O365)</x:f>
      </x:c>
      <x:c r="Q365" s="111" t="str">
        <x:f>IF(P365="","",P365*Summary!$B$35)</x:f>
      </x:c>
      <x:c r="R365" s="112" t="n">
        <x:f>IF(N365="","",IF(N365="Double",Summary!$B$39,Summary!$B$38))</x:f>
        <x:v>1.6</x:v>
      </x:c>
      <x:c r="S365" s="113" t="str">
        <x:f>IF(Q365="","",Q365*R365)</x:f>
      </x:c>
    </x:row>
    <x:row r="366">
      <x:c r="A366" s="107"/>
      <x:c r="B366" s="108"/>
      <x:c r="C366" s="108"/>
      <x:c r="D366" s="108"/>
      <x:c r="E366" s="108"/>
      <x:c r="F366" s="108"/>
      <x:c r="G366" s="108"/>
      <x:c r="H366" s="108"/>
      <x:c r="I366" s="108"/>
      <x:c r="J366" s="108"/>
      <x:c r="K366" s="109"/>
      <x:c r="L366" s="110"/>
      <x:c r="M366" s="109" t="str">
        <x:f>IF(OR(K366="",L366=""),"",K366*L366)</x:f>
      </x:c>
      <x:c r="N366" s="108" t="str">
        <x:f>IF(I366="","Single",IF(LEFT(I366,2)="2x","Double","Single"))</x:f>
        <x:v>Single</x:v>
      </x:c>
      <x:c r="O366" s="109" t="n">
        <x:f>IF(N366="","",IF(N366="Double",Summary!$B$37,Summary!$B$36))</x:f>
        <x:v>5</x:v>
      </x:c>
      <x:c r="P366" s="109" t="str">
        <x:f>IF(K366="","",K366+O366)</x:f>
      </x:c>
      <x:c r="Q366" s="111" t="str">
        <x:f>IF(P366="","",P366*Summary!$B$35)</x:f>
      </x:c>
      <x:c r="R366" s="112" t="n">
        <x:f>IF(N366="","",IF(N366="Double",Summary!$B$39,Summary!$B$38))</x:f>
        <x:v>1.6</x:v>
      </x:c>
      <x:c r="S366" s="113" t="str">
        <x:f>IF(Q366="","",Q366*R366)</x:f>
      </x:c>
    </x:row>
    <x:row r="367">
      <x:c r="A367" s="107"/>
      <x:c r="B367" s="108"/>
      <x:c r="C367" s="108"/>
      <x:c r="D367" s="108"/>
      <x:c r="E367" s="108"/>
      <x:c r="F367" s="108"/>
      <x:c r="G367" s="108"/>
      <x:c r="H367" s="108"/>
      <x:c r="I367" s="108"/>
      <x:c r="J367" s="108"/>
      <x:c r="K367" s="109"/>
      <x:c r="L367" s="110"/>
      <x:c r="M367" s="109" t="str">
        <x:f>IF(OR(K367="",L367=""),"",K367*L367)</x:f>
      </x:c>
      <x:c r="N367" s="108" t="str">
        <x:f>IF(I367="","Single",IF(LEFT(I367,2)="2x","Double","Single"))</x:f>
        <x:v>Single</x:v>
      </x:c>
      <x:c r="O367" s="109" t="n">
        <x:f>IF(N367="","",IF(N367="Double",Summary!$B$37,Summary!$B$36))</x:f>
        <x:v>5</x:v>
      </x:c>
      <x:c r="P367" s="109" t="str">
        <x:f>IF(K367="","",K367+O367)</x:f>
      </x:c>
      <x:c r="Q367" s="111" t="str">
        <x:f>IF(P367="","",P367*Summary!$B$35)</x:f>
      </x:c>
      <x:c r="R367" s="112" t="n">
        <x:f>IF(N367="","",IF(N367="Double",Summary!$B$39,Summary!$B$38))</x:f>
        <x:v>1.6</x:v>
      </x:c>
      <x:c r="S367" s="113" t="str">
        <x:f>IF(Q367="","",Q367*R367)</x:f>
      </x:c>
    </x:row>
    <x:row r="368">
      <x:c r="A368" s="107"/>
      <x:c r="B368" s="108"/>
      <x:c r="C368" s="108"/>
      <x:c r="D368" s="108"/>
      <x:c r="E368" s="108"/>
      <x:c r="F368" s="108"/>
      <x:c r="G368" s="108"/>
      <x:c r="H368" s="108"/>
      <x:c r="I368" s="108"/>
      <x:c r="J368" s="108"/>
      <x:c r="K368" s="109"/>
      <x:c r="L368" s="110"/>
      <x:c r="M368" s="109" t="str">
        <x:f>IF(OR(K368="",L368=""),"",K368*L368)</x:f>
      </x:c>
      <x:c r="N368" s="108" t="str">
        <x:f>IF(I368="","Single",IF(LEFT(I368,2)="2x","Double","Single"))</x:f>
        <x:v>Single</x:v>
      </x:c>
      <x:c r="O368" s="109" t="n">
        <x:f>IF(N368="","",IF(N368="Double",Summary!$B$37,Summary!$B$36))</x:f>
        <x:v>5</x:v>
      </x:c>
      <x:c r="P368" s="109" t="str">
        <x:f>IF(K368="","",K368+O368)</x:f>
      </x:c>
      <x:c r="Q368" s="111" t="str">
        <x:f>IF(P368="","",P368*Summary!$B$35)</x:f>
      </x:c>
      <x:c r="R368" s="112" t="n">
        <x:f>IF(N368="","",IF(N368="Double",Summary!$B$39,Summary!$B$38))</x:f>
        <x:v>1.6</x:v>
      </x:c>
      <x:c r="S368" s="113" t="str">
        <x:f>IF(Q368="","",Q368*R368)</x:f>
      </x:c>
    </x:row>
    <x:row r="369">
      <x:c r="A369" s="107"/>
      <x:c r="B369" s="108"/>
      <x:c r="C369" s="108"/>
      <x:c r="D369" s="108"/>
      <x:c r="E369" s="108"/>
      <x:c r="F369" s="108"/>
      <x:c r="G369" s="108"/>
      <x:c r="H369" s="108"/>
      <x:c r="I369" s="108"/>
      <x:c r="J369" s="108"/>
      <x:c r="K369" s="109"/>
      <x:c r="L369" s="110"/>
      <x:c r="M369" s="109" t="str">
        <x:f>IF(OR(K369="",L369=""),"",K369*L369)</x:f>
      </x:c>
      <x:c r="N369" s="108" t="str">
        <x:f>IF(I369="","Single",IF(LEFT(I369,2)="2x","Double","Single"))</x:f>
        <x:v>Single</x:v>
      </x:c>
      <x:c r="O369" s="109" t="n">
        <x:f>IF(N369="","",IF(N369="Double",Summary!$B$37,Summary!$B$36))</x:f>
        <x:v>5</x:v>
      </x:c>
      <x:c r="P369" s="109" t="str">
        <x:f>IF(K369="","",K369+O369)</x:f>
      </x:c>
      <x:c r="Q369" s="111" t="str">
        <x:f>IF(P369="","",P369*Summary!$B$35)</x:f>
      </x:c>
      <x:c r="R369" s="112" t="n">
        <x:f>IF(N369="","",IF(N369="Double",Summary!$B$39,Summary!$B$38))</x:f>
        <x:v>1.6</x:v>
      </x:c>
      <x:c r="S369" s="113" t="str">
        <x:f>IF(Q369="","",Q369*R369)</x:f>
      </x:c>
    </x:row>
    <x:row r="370">
      <x:c r="A370" s="107"/>
      <x:c r="B370" s="108"/>
      <x:c r="C370" s="108"/>
      <x:c r="D370" s="108"/>
      <x:c r="E370" s="108"/>
      <x:c r="F370" s="108"/>
      <x:c r="G370" s="108"/>
      <x:c r="H370" s="108"/>
      <x:c r="I370" s="108"/>
      <x:c r="J370" s="108"/>
      <x:c r="K370" s="109"/>
      <x:c r="L370" s="110"/>
      <x:c r="M370" s="109" t="str">
        <x:f>IF(OR(K370="",L370=""),"",K370*L370)</x:f>
      </x:c>
      <x:c r="N370" s="108" t="str">
        <x:f>IF(I370="","Single",IF(LEFT(I370,2)="2x","Double","Single"))</x:f>
        <x:v>Single</x:v>
      </x:c>
      <x:c r="O370" s="109" t="n">
        <x:f>IF(N370="","",IF(N370="Double",Summary!$B$37,Summary!$B$36))</x:f>
        <x:v>5</x:v>
      </x:c>
      <x:c r="P370" s="109" t="str">
        <x:f>IF(K370="","",K370+O370)</x:f>
      </x:c>
      <x:c r="Q370" s="111" t="str">
        <x:f>IF(P370="","",P370*Summary!$B$35)</x:f>
      </x:c>
      <x:c r="R370" s="112" t="n">
        <x:f>IF(N370="","",IF(N370="Double",Summary!$B$39,Summary!$B$38))</x:f>
        <x:v>1.6</x:v>
      </x:c>
      <x:c r="S370" s="113" t="str">
        <x:f>IF(Q370="","",Q370*R370)</x:f>
      </x:c>
    </x:row>
    <x:row r="371">
      <x:c r="A371" s="107"/>
      <x:c r="B371" s="108"/>
      <x:c r="C371" s="108"/>
      <x:c r="D371" s="108"/>
      <x:c r="E371" s="108"/>
      <x:c r="F371" s="108"/>
      <x:c r="G371" s="108"/>
      <x:c r="H371" s="108"/>
      <x:c r="I371" s="108"/>
      <x:c r="J371" s="108"/>
      <x:c r="K371" s="109"/>
      <x:c r="L371" s="110"/>
      <x:c r="M371" s="109" t="str">
        <x:f>IF(OR(K371="",L371=""),"",K371*L371)</x:f>
      </x:c>
      <x:c r="N371" s="108" t="str">
        <x:f>IF(I371="","Single",IF(LEFT(I371,2)="2x","Double","Single"))</x:f>
        <x:v>Single</x:v>
      </x:c>
      <x:c r="O371" s="109" t="n">
        <x:f>IF(N371="","",IF(N371="Double",Summary!$B$37,Summary!$B$36))</x:f>
        <x:v>5</x:v>
      </x:c>
      <x:c r="P371" s="109" t="str">
        <x:f>IF(K371="","",K371+O371)</x:f>
      </x:c>
      <x:c r="Q371" s="111" t="str">
        <x:f>IF(P371="","",P371*Summary!$B$35)</x:f>
      </x:c>
      <x:c r="R371" s="112" t="n">
        <x:f>IF(N371="","",IF(N371="Double",Summary!$B$39,Summary!$B$38))</x:f>
        <x:v>1.6</x:v>
      </x:c>
      <x:c r="S371" s="113" t="str">
        <x:f>IF(Q371="","",Q371*R371)</x:f>
      </x:c>
    </x:row>
    <x:row r="372">
      <x:c r="A372" s="107"/>
      <x:c r="B372" s="108"/>
      <x:c r="C372" s="108"/>
      <x:c r="D372" s="108"/>
      <x:c r="E372" s="108"/>
      <x:c r="F372" s="108"/>
      <x:c r="G372" s="108"/>
      <x:c r="H372" s="108"/>
      <x:c r="I372" s="108"/>
      <x:c r="J372" s="108"/>
      <x:c r="K372" s="109"/>
      <x:c r="L372" s="110"/>
      <x:c r="M372" s="109" t="str">
        <x:f>IF(OR(K372="",L372=""),"",K372*L372)</x:f>
      </x:c>
      <x:c r="N372" s="108" t="str">
        <x:f>IF(I372="","Single",IF(LEFT(I372,2)="2x","Double","Single"))</x:f>
        <x:v>Single</x:v>
      </x:c>
      <x:c r="O372" s="109" t="n">
        <x:f>IF(N372="","",IF(N372="Double",Summary!$B$37,Summary!$B$36))</x:f>
        <x:v>5</x:v>
      </x:c>
      <x:c r="P372" s="109" t="str">
        <x:f>IF(K372="","",K372+O372)</x:f>
      </x:c>
      <x:c r="Q372" s="111" t="str">
        <x:f>IF(P372="","",P372*Summary!$B$35)</x:f>
      </x:c>
      <x:c r="R372" s="112" t="n">
        <x:f>IF(N372="","",IF(N372="Double",Summary!$B$39,Summary!$B$38))</x:f>
        <x:v>1.6</x:v>
      </x:c>
      <x:c r="S372" s="113" t="str">
        <x:f>IF(Q372="","",Q372*R372)</x:f>
      </x:c>
    </x:row>
    <x:row r="373">
      <x:c r="A373" s="107"/>
      <x:c r="B373" s="108"/>
      <x:c r="C373" s="108"/>
      <x:c r="D373" s="108"/>
      <x:c r="E373" s="108"/>
      <x:c r="F373" s="108"/>
      <x:c r="G373" s="108"/>
      <x:c r="H373" s="108"/>
      <x:c r="I373" s="108"/>
      <x:c r="J373" s="108"/>
      <x:c r="K373" s="109"/>
      <x:c r="L373" s="110"/>
      <x:c r="M373" s="109" t="str">
        <x:f>IF(OR(K373="",L373=""),"",K373*L373)</x:f>
      </x:c>
      <x:c r="N373" s="108" t="str">
        <x:f>IF(I373="","Single",IF(LEFT(I373,2)="2x","Double","Single"))</x:f>
        <x:v>Single</x:v>
      </x:c>
      <x:c r="O373" s="109" t="n">
        <x:f>IF(N373="","",IF(N373="Double",Summary!$B$37,Summary!$B$36))</x:f>
        <x:v>5</x:v>
      </x:c>
      <x:c r="P373" s="109" t="str">
        <x:f>IF(K373="","",K373+O373)</x:f>
      </x:c>
      <x:c r="Q373" s="111" t="str">
        <x:f>IF(P373="","",P373*Summary!$B$35)</x:f>
      </x:c>
      <x:c r="R373" s="112" t="n">
        <x:f>IF(N373="","",IF(N373="Double",Summary!$B$39,Summary!$B$38))</x:f>
        <x:v>1.6</x:v>
      </x:c>
      <x:c r="S373" s="113" t="str">
        <x:f>IF(Q373="","",Q373*R373)</x:f>
      </x:c>
    </x:row>
    <x:row r="374">
      <x:c r="A374" s="107"/>
      <x:c r="B374" s="108"/>
      <x:c r="C374" s="108"/>
      <x:c r="D374" s="108"/>
      <x:c r="E374" s="108"/>
      <x:c r="F374" s="108"/>
      <x:c r="G374" s="108"/>
      <x:c r="H374" s="108"/>
      <x:c r="I374" s="108"/>
      <x:c r="J374" s="108"/>
      <x:c r="K374" s="109"/>
      <x:c r="L374" s="110"/>
      <x:c r="M374" s="109" t="str">
        <x:f>IF(OR(K374="",L374=""),"",K374*L374)</x:f>
      </x:c>
      <x:c r="N374" s="108" t="str">
        <x:f>IF(I374="","Single",IF(LEFT(I374,2)="2x","Double","Single"))</x:f>
        <x:v>Single</x:v>
      </x:c>
      <x:c r="O374" s="109" t="n">
        <x:f>IF(N374="","",IF(N374="Double",Summary!$B$37,Summary!$B$36))</x:f>
        <x:v>5</x:v>
      </x:c>
      <x:c r="P374" s="109" t="str">
        <x:f>IF(K374="","",K374+O374)</x:f>
      </x:c>
      <x:c r="Q374" s="111" t="str">
        <x:f>IF(P374="","",P374*Summary!$B$35)</x:f>
      </x:c>
      <x:c r="R374" s="112" t="n">
        <x:f>IF(N374="","",IF(N374="Double",Summary!$B$39,Summary!$B$38))</x:f>
        <x:v>1.6</x:v>
      </x:c>
      <x:c r="S374" s="113" t="str">
        <x:f>IF(Q374="","",Q374*R374)</x:f>
      </x:c>
    </x:row>
    <x:row r="375">
      <x:c r="A375" s="107"/>
      <x:c r="B375" s="108"/>
      <x:c r="C375" s="108"/>
      <x:c r="D375" s="108"/>
      <x:c r="E375" s="108"/>
      <x:c r="F375" s="108"/>
      <x:c r="G375" s="108"/>
      <x:c r="H375" s="108"/>
      <x:c r="I375" s="108"/>
      <x:c r="J375" s="108"/>
      <x:c r="K375" s="109"/>
      <x:c r="L375" s="110"/>
      <x:c r="M375" s="109" t="str">
        <x:f>IF(OR(K375="",L375=""),"",K375*L375)</x:f>
      </x:c>
      <x:c r="N375" s="108" t="str">
        <x:f>IF(I375="","Single",IF(LEFT(I375,2)="2x","Double","Single"))</x:f>
        <x:v>Single</x:v>
      </x:c>
      <x:c r="O375" s="109" t="n">
        <x:f>IF(N375="","",IF(N375="Double",Summary!$B$37,Summary!$B$36))</x:f>
        <x:v>5</x:v>
      </x:c>
      <x:c r="P375" s="109" t="str">
        <x:f>IF(K375="","",K375+O375)</x:f>
      </x:c>
      <x:c r="Q375" s="111" t="str">
        <x:f>IF(P375="","",P375*Summary!$B$35)</x:f>
      </x:c>
      <x:c r="R375" s="112" t="n">
        <x:f>IF(N375="","",IF(N375="Double",Summary!$B$39,Summary!$B$38))</x:f>
        <x:v>1.6</x:v>
      </x:c>
      <x:c r="S375" s="113" t="str">
        <x:f>IF(Q375="","",Q375*R375)</x:f>
      </x:c>
    </x:row>
    <x:row r="376">
      <x:c r="A376" s="107"/>
      <x:c r="B376" s="108"/>
      <x:c r="C376" s="108"/>
      <x:c r="D376" s="108"/>
      <x:c r="E376" s="108"/>
      <x:c r="F376" s="108"/>
      <x:c r="G376" s="108"/>
      <x:c r="H376" s="108"/>
      <x:c r="I376" s="108"/>
      <x:c r="J376" s="108"/>
      <x:c r="K376" s="109"/>
      <x:c r="L376" s="110"/>
      <x:c r="M376" s="109" t="str">
        <x:f>IF(OR(K376="",L376=""),"",K376*L376)</x:f>
      </x:c>
      <x:c r="N376" s="108" t="str">
        <x:f>IF(I376="","Single",IF(LEFT(I376,2)="2x","Double","Single"))</x:f>
        <x:v>Single</x:v>
      </x:c>
      <x:c r="O376" s="109" t="n">
        <x:f>IF(N376="","",IF(N376="Double",Summary!$B$37,Summary!$B$36))</x:f>
        <x:v>5</x:v>
      </x:c>
      <x:c r="P376" s="109" t="str">
        <x:f>IF(K376="","",K376+O376)</x:f>
      </x:c>
      <x:c r="Q376" s="111" t="str">
        <x:f>IF(P376="","",P376*Summary!$B$35)</x:f>
      </x:c>
      <x:c r="R376" s="112" t="n">
        <x:f>IF(N376="","",IF(N376="Double",Summary!$B$39,Summary!$B$38))</x:f>
        <x:v>1.6</x:v>
      </x:c>
      <x:c r="S376" s="113" t="str">
        <x:f>IF(Q376="","",Q376*R376)</x:f>
      </x:c>
    </x:row>
    <x:row r="377">
      <x:c r="A377" s="107"/>
      <x:c r="B377" s="108"/>
      <x:c r="C377" s="108"/>
      <x:c r="D377" s="108"/>
      <x:c r="E377" s="108"/>
      <x:c r="F377" s="108"/>
      <x:c r="G377" s="108"/>
      <x:c r="H377" s="108"/>
      <x:c r="I377" s="108"/>
      <x:c r="J377" s="108"/>
      <x:c r="K377" s="109"/>
      <x:c r="L377" s="110"/>
      <x:c r="M377" s="109" t="str">
        <x:f>IF(OR(K377="",L377=""),"",K377*L377)</x:f>
      </x:c>
      <x:c r="N377" s="108" t="str">
        <x:f>IF(I377="","Single",IF(LEFT(I377,2)="2x","Double","Single"))</x:f>
        <x:v>Single</x:v>
      </x:c>
      <x:c r="O377" s="109" t="n">
        <x:f>IF(N377="","",IF(N377="Double",Summary!$B$37,Summary!$B$36))</x:f>
        <x:v>5</x:v>
      </x:c>
      <x:c r="P377" s="109" t="str">
        <x:f>IF(K377="","",K377+O377)</x:f>
      </x:c>
      <x:c r="Q377" s="111" t="str">
        <x:f>IF(P377="","",P377*Summary!$B$35)</x:f>
      </x:c>
      <x:c r="R377" s="112" t="n">
        <x:f>IF(N377="","",IF(N377="Double",Summary!$B$39,Summary!$B$38))</x:f>
        <x:v>1.6</x:v>
      </x:c>
      <x:c r="S377" s="113" t="str">
        <x:f>IF(Q377="","",Q377*R377)</x:f>
      </x:c>
    </x:row>
    <x:row r="378">
      <x:c r="A378" s="107"/>
      <x:c r="B378" s="108"/>
      <x:c r="C378" s="108"/>
      <x:c r="D378" s="108"/>
      <x:c r="E378" s="108"/>
      <x:c r="F378" s="108"/>
      <x:c r="G378" s="108"/>
      <x:c r="H378" s="108"/>
      <x:c r="I378" s="108"/>
      <x:c r="J378" s="108"/>
      <x:c r="K378" s="109"/>
      <x:c r="L378" s="110"/>
      <x:c r="M378" s="109" t="str">
        <x:f>IF(OR(K378="",L378=""),"",K378*L378)</x:f>
      </x:c>
      <x:c r="N378" s="108" t="str">
        <x:f>IF(I378="","Single",IF(LEFT(I378,2)="2x","Double","Single"))</x:f>
        <x:v>Single</x:v>
      </x:c>
      <x:c r="O378" s="109" t="n">
        <x:f>IF(N378="","",IF(N378="Double",Summary!$B$37,Summary!$B$36))</x:f>
        <x:v>5</x:v>
      </x:c>
      <x:c r="P378" s="109" t="str">
        <x:f>IF(K378="","",K378+O378)</x:f>
      </x:c>
      <x:c r="Q378" s="111" t="str">
        <x:f>IF(P378="","",P378*Summary!$B$35)</x:f>
      </x:c>
      <x:c r="R378" s="112" t="n">
        <x:f>IF(N378="","",IF(N378="Double",Summary!$B$39,Summary!$B$38))</x:f>
        <x:v>1.6</x:v>
      </x:c>
      <x:c r="S378" s="113" t="str">
        <x:f>IF(Q378="","",Q378*R378)</x:f>
      </x:c>
    </x:row>
    <x:row r="379">
      <x:c r="A379" s="107"/>
      <x:c r="B379" s="108"/>
      <x:c r="C379" s="108"/>
      <x:c r="D379" s="108"/>
      <x:c r="E379" s="108"/>
      <x:c r="F379" s="108"/>
      <x:c r="G379" s="108"/>
      <x:c r="H379" s="108"/>
      <x:c r="I379" s="108"/>
      <x:c r="J379" s="108"/>
      <x:c r="K379" s="109"/>
      <x:c r="L379" s="110"/>
      <x:c r="M379" s="109" t="str">
        <x:f>IF(OR(K379="",L379=""),"",K379*L379)</x:f>
      </x:c>
      <x:c r="N379" s="108" t="str">
        <x:f>IF(I379="","Single",IF(LEFT(I379,2)="2x","Double","Single"))</x:f>
        <x:v>Single</x:v>
      </x:c>
      <x:c r="O379" s="109" t="n">
        <x:f>IF(N379="","",IF(N379="Double",Summary!$B$37,Summary!$B$36))</x:f>
        <x:v>5</x:v>
      </x:c>
      <x:c r="P379" s="109" t="str">
        <x:f>IF(K379="","",K379+O379)</x:f>
      </x:c>
      <x:c r="Q379" s="111" t="str">
        <x:f>IF(P379="","",P379*Summary!$B$35)</x:f>
      </x:c>
      <x:c r="R379" s="112" t="n">
        <x:f>IF(N379="","",IF(N379="Double",Summary!$B$39,Summary!$B$38))</x:f>
        <x:v>1.6</x:v>
      </x:c>
      <x:c r="S379" s="113" t="str">
        <x:f>IF(Q379="","",Q379*R379)</x:f>
      </x:c>
    </x:row>
    <x:row r="380">
      <x:c r="A380" s="107"/>
      <x:c r="B380" s="108"/>
      <x:c r="C380" s="108"/>
      <x:c r="D380" s="108"/>
      <x:c r="E380" s="108"/>
      <x:c r="F380" s="108"/>
      <x:c r="G380" s="108"/>
      <x:c r="H380" s="108"/>
      <x:c r="I380" s="108"/>
      <x:c r="J380" s="108"/>
      <x:c r="K380" s="109"/>
      <x:c r="L380" s="110"/>
      <x:c r="M380" s="109" t="str">
        <x:f>IF(OR(K380="",L380=""),"",K380*L380)</x:f>
      </x:c>
      <x:c r="N380" s="108" t="str">
        <x:f>IF(I380="","Single",IF(LEFT(I380,2)="2x","Double","Single"))</x:f>
        <x:v>Single</x:v>
      </x:c>
      <x:c r="O380" s="109" t="n">
        <x:f>IF(N380="","",IF(N380="Double",Summary!$B$37,Summary!$B$36))</x:f>
        <x:v>5</x:v>
      </x:c>
      <x:c r="P380" s="109" t="str">
        <x:f>IF(K380="","",K380+O380)</x:f>
      </x:c>
      <x:c r="Q380" s="111" t="str">
        <x:f>IF(P380="","",P380*Summary!$B$35)</x:f>
      </x:c>
      <x:c r="R380" s="112" t="n">
        <x:f>IF(N380="","",IF(N380="Double",Summary!$B$39,Summary!$B$38))</x:f>
        <x:v>1.6</x:v>
      </x:c>
      <x:c r="S380" s="113" t="str">
        <x:f>IF(Q380="","",Q380*R380)</x:f>
      </x:c>
    </x:row>
    <x:row r="381">
      <x:c r="A381" s="107"/>
      <x:c r="B381" s="108"/>
      <x:c r="C381" s="108"/>
      <x:c r="D381" s="108"/>
      <x:c r="E381" s="108"/>
      <x:c r="F381" s="108"/>
      <x:c r="G381" s="108"/>
      <x:c r="H381" s="108"/>
      <x:c r="I381" s="108"/>
      <x:c r="J381" s="108"/>
      <x:c r="K381" s="109"/>
      <x:c r="L381" s="110"/>
      <x:c r="M381" s="109" t="str">
        <x:f>IF(OR(K381="",L381=""),"",K381*L381)</x:f>
      </x:c>
      <x:c r="N381" s="108" t="str">
        <x:f>IF(I381="","Single",IF(LEFT(I381,2)="2x","Double","Single"))</x:f>
        <x:v>Single</x:v>
      </x:c>
      <x:c r="O381" s="109" t="n">
        <x:f>IF(N381="","",IF(N381="Double",Summary!$B$37,Summary!$B$36))</x:f>
        <x:v>5</x:v>
      </x:c>
      <x:c r="P381" s="109" t="str">
        <x:f>IF(K381="","",K381+O381)</x:f>
      </x:c>
      <x:c r="Q381" s="111" t="str">
        <x:f>IF(P381="","",P381*Summary!$B$35)</x:f>
      </x:c>
      <x:c r="R381" s="112" t="n">
        <x:f>IF(N381="","",IF(N381="Double",Summary!$B$39,Summary!$B$38))</x:f>
        <x:v>1.6</x:v>
      </x:c>
      <x:c r="S381" s="113" t="str">
        <x:f>IF(Q381="","",Q381*R381)</x:f>
      </x:c>
    </x:row>
    <x:row r="382">
      <x:c r="A382" s="107"/>
      <x:c r="B382" s="108"/>
      <x:c r="C382" s="108"/>
      <x:c r="D382" s="108"/>
      <x:c r="E382" s="108"/>
      <x:c r="F382" s="108"/>
      <x:c r="G382" s="108"/>
      <x:c r="H382" s="108"/>
      <x:c r="I382" s="108"/>
      <x:c r="J382" s="108"/>
      <x:c r="K382" s="109"/>
      <x:c r="L382" s="110"/>
      <x:c r="M382" s="109" t="str">
        <x:f>IF(OR(K382="",L382=""),"",K382*L382)</x:f>
      </x:c>
      <x:c r="N382" s="108" t="str">
        <x:f>IF(I382="","Single",IF(LEFT(I382,2)="2x","Double","Single"))</x:f>
        <x:v>Single</x:v>
      </x:c>
      <x:c r="O382" s="109" t="n">
        <x:f>IF(N382="","",IF(N382="Double",Summary!$B$37,Summary!$B$36))</x:f>
        <x:v>5</x:v>
      </x:c>
      <x:c r="P382" s="109" t="str">
        <x:f>IF(K382="","",K382+O382)</x:f>
      </x:c>
      <x:c r="Q382" s="111" t="str">
        <x:f>IF(P382="","",P382*Summary!$B$35)</x:f>
      </x:c>
      <x:c r="R382" s="112" t="n">
        <x:f>IF(N382="","",IF(N382="Double",Summary!$B$39,Summary!$B$38))</x:f>
        <x:v>1.6</x:v>
      </x:c>
      <x:c r="S382" s="113" t="str">
        <x:f>IF(Q382="","",Q382*R382)</x:f>
      </x:c>
    </x:row>
    <x:row r="383">
      <x:c r="A383" s="107"/>
      <x:c r="B383" s="108"/>
      <x:c r="C383" s="108"/>
      <x:c r="D383" s="108"/>
      <x:c r="E383" s="108"/>
      <x:c r="F383" s="108"/>
      <x:c r="G383" s="108"/>
      <x:c r="H383" s="108"/>
      <x:c r="I383" s="108"/>
      <x:c r="J383" s="108"/>
      <x:c r="K383" s="109"/>
      <x:c r="L383" s="110"/>
      <x:c r="M383" s="109" t="str">
        <x:f>IF(OR(K383="",L383=""),"",K383*L383)</x:f>
      </x:c>
      <x:c r="N383" s="108" t="str">
        <x:f>IF(I383="","Single",IF(LEFT(I383,2)="2x","Double","Single"))</x:f>
        <x:v>Single</x:v>
      </x:c>
      <x:c r="O383" s="109" t="n">
        <x:f>IF(N383="","",IF(N383="Double",Summary!$B$37,Summary!$B$36))</x:f>
        <x:v>5</x:v>
      </x:c>
      <x:c r="P383" s="109" t="str">
        <x:f>IF(K383="","",K383+O383)</x:f>
      </x:c>
      <x:c r="Q383" s="111" t="str">
        <x:f>IF(P383="","",P383*Summary!$B$35)</x:f>
      </x:c>
      <x:c r="R383" s="112" t="n">
        <x:f>IF(N383="","",IF(N383="Double",Summary!$B$39,Summary!$B$38))</x:f>
        <x:v>1.6</x:v>
      </x:c>
      <x:c r="S383" s="113" t="str">
        <x:f>IF(Q383="","",Q383*R383)</x:f>
      </x:c>
    </x:row>
    <x:row r="384">
      <x:c r="A384" s="107"/>
      <x:c r="B384" s="108"/>
      <x:c r="C384" s="108"/>
      <x:c r="D384" s="108"/>
      <x:c r="E384" s="108"/>
      <x:c r="F384" s="108"/>
      <x:c r="G384" s="108"/>
      <x:c r="H384" s="108"/>
      <x:c r="I384" s="108"/>
      <x:c r="J384" s="108"/>
      <x:c r="K384" s="109"/>
      <x:c r="L384" s="110"/>
      <x:c r="M384" s="109" t="str">
        <x:f>IF(OR(K384="",L384=""),"",K384*L384)</x:f>
      </x:c>
      <x:c r="N384" s="108" t="str">
        <x:f>IF(I384="","Single",IF(LEFT(I384,2)="2x","Double","Single"))</x:f>
        <x:v>Single</x:v>
      </x:c>
      <x:c r="O384" s="109" t="n">
        <x:f>IF(N384="","",IF(N384="Double",Summary!$B$37,Summary!$B$36))</x:f>
        <x:v>5</x:v>
      </x:c>
      <x:c r="P384" s="109" t="str">
        <x:f>IF(K384="","",K384+O384)</x:f>
      </x:c>
      <x:c r="Q384" s="111" t="str">
        <x:f>IF(P384="","",P384*Summary!$B$35)</x:f>
      </x:c>
      <x:c r="R384" s="112" t="n">
        <x:f>IF(N384="","",IF(N384="Double",Summary!$B$39,Summary!$B$38))</x:f>
        <x:v>1.6</x:v>
      </x:c>
      <x:c r="S384" s="113" t="str">
        <x:f>IF(Q384="","",Q384*R384)</x:f>
      </x:c>
    </x:row>
    <x:row r="385">
      <x:c r="A385" s="107"/>
      <x:c r="B385" s="108"/>
      <x:c r="C385" s="108"/>
      <x:c r="D385" s="108"/>
      <x:c r="E385" s="108"/>
      <x:c r="F385" s="108"/>
      <x:c r="G385" s="108"/>
      <x:c r="H385" s="108"/>
      <x:c r="I385" s="108"/>
      <x:c r="J385" s="108"/>
      <x:c r="K385" s="109"/>
      <x:c r="L385" s="110"/>
      <x:c r="M385" s="109" t="str">
        <x:f>IF(OR(K385="",L385=""),"",K385*L385)</x:f>
      </x:c>
      <x:c r="N385" s="108" t="str">
        <x:f>IF(I385="","Single",IF(LEFT(I385,2)="2x","Double","Single"))</x:f>
        <x:v>Single</x:v>
      </x:c>
      <x:c r="O385" s="109" t="n">
        <x:f>IF(N385="","",IF(N385="Double",Summary!$B$37,Summary!$B$36))</x:f>
        <x:v>5</x:v>
      </x:c>
      <x:c r="P385" s="109" t="str">
        <x:f>IF(K385="","",K385+O385)</x:f>
      </x:c>
      <x:c r="Q385" s="111" t="str">
        <x:f>IF(P385="","",P385*Summary!$B$35)</x:f>
      </x:c>
      <x:c r="R385" s="112" t="n">
        <x:f>IF(N385="","",IF(N385="Double",Summary!$B$39,Summary!$B$38))</x:f>
        <x:v>1.6</x:v>
      </x:c>
      <x:c r="S385" s="113" t="str">
        <x:f>IF(Q385="","",Q385*R385)</x:f>
      </x:c>
    </x:row>
    <x:row r="386">
      <x:c r="A386" s="107"/>
      <x:c r="B386" s="108"/>
      <x:c r="C386" s="108"/>
      <x:c r="D386" s="108"/>
      <x:c r="E386" s="108"/>
      <x:c r="F386" s="108"/>
      <x:c r="G386" s="108"/>
      <x:c r="H386" s="108"/>
      <x:c r="I386" s="108"/>
      <x:c r="J386" s="108"/>
      <x:c r="K386" s="109"/>
      <x:c r="L386" s="110"/>
      <x:c r="M386" s="109" t="str">
        <x:f>IF(OR(K386="",L386=""),"",K386*L386)</x:f>
      </x:c>
      <x:c r="N386" s="108" t="str">
        <x:f>IF(I386="","Single",IF(LEFT(I386,2)="2x","Double","Single"))</x:f>
        <x:v>Single</x:v>
      </x:c>
      <x:c r="O386" s="109" t="n">
        <x:f>IF(N386="","",IF(N386="Double",Summary!$B$37,Summary!$B$36))</x:f>
        <x:v>5</x:v>
      </x:c>
      <x:c r="P386" s="109" t="str">
        <x:f>IF(K386="","",K386+O386)</x:f>
      </x:c>
      <x:c r="Q386" s="111" t="str">
        <x:f>IF(P386="","",P386*Summary!$B$35)</x:f>
      </x:c>
      <x:c r="R386" s="112" t="n">
        <x:f>IF(N386="","",IF(N386="Double",Summary!$B$39,Summary!$B$38))</x:f>
        <x:v>1.6</x:v>
      </x:c>
      <x:c r="S386" s="113" t="str">
        <x:f>IF(Q386="","",Q386*R386)</x:f>
      </x:c>
    </x:row>
    <x:row r="387">
      <x:c r="A387" s="107"/>
      <x:c r="B387" s="108"/>
      <x:c r="C387" s="108"/>
      <x:c r="D387" s="108"/>
      <x:c r="E387" s="108"/>
      <x:c r="F387" s="108"/>
      <x:c r="G387" s="108"/>
      <x:c r="H387" s="108"/>
      <x:c r="I387" s="108"/>
      <x:c r="J387" s="108"/>
      <x:c r="K387" s="109"/>
      <x:c r="L387" s="110"/>
      <x:c r="M387" s="109" t="str">
        <x:f>IF(OR(K387="",L387=""),"",K387*L387)</x:f>
      </x:c>
      <x:c r="N387" s="108" t="str">
        <x:f>IF(I387="","Single",IF(LEFT(I387,2)="2x","Double","Single"))</x:f>
        <x:v>Single</x:v>
      </x:c>
      <x:c r="O387" s="109" t="n">
        <x:f>IF(N387="","",IF(N387="Double",Summary!$B$37,Summary!$B$36))</x:f>
        <x:v>5</x:v>
      </x:c>
      <x:c r="P387" s="109" t="str">
        <x:f>IF(K387="","",K387+O387)</x:f>
      </x:c>
      <x:c r="Q387" s="111" t="str">
        <x:f>IF(P387="","",P387*Summary!$B$35)</x:f>
      </x:c>
      <x:c r="R387" s="112" t="n">
        <x:f>IF(N387="","",IF(N387="Double",Summary!$B$39,Summary!$B$38))</x:f>
        <x:v>1.6</x:v>
      </x:c>
      <x:c r="S387" s="113" t="str">
        <x:f>IF(Q387="","",Q387*R387)</x:f>
      </x:c>
    </x:row>
    <x:row r="388">
      <x:c r="A388" s="107"/>
      <x:c r="B388" s="108"/>
      <x:c r="C388" s="108"/>
      <x:c r="D388" s="108"/>
      <x:c r="E388" s="108"/>
      <x:c r="F388" s="108"/>
      <x:c r="G388" s="108"/>
      <x:c r="H388" s="108"/>
      <x:c r="I388" s="108"/>
      <x:c r="J388" s="108"/>
      <x:c r="K388" s="109"/>
      <x:c r="L388" s="110"/>
      <x:c r="M388" s="109" t="str">
        <x:f>IF(OR(K388="",L388=""),"",K388*L388)</x:f>
      </x:c>
      <x:c r="N388" s="108" t="str">
        <x:f>IF(I388="","Single",IF(LEFT(I388,2)="2x","Double","Single"))</x:f>
        <x:v>Single</x:v>
      </x:c>
      <x:c r="O388" s="109" t="n">
        <x:f>IF(N388="","",IF(N388="Double",Summary!$B$37,Summary!$B$36))</x:f>
        <x:v>5</x:v>
      </x:c>
      <x:c r="P388" s="109" t="str">
        <x:f>IF(K388="","",K388+O388)</x:f>
      </x:c>
      <x:c r="Q388" s="111" t="str">
        <x:f>IF(P388="","",P388*Summary!$B$35)</x:f>
      </x:c>
      <x:c r="R388" s="112" t="n">
        <x:f>IF(N388="","",IF(N388="Double",Summary!$B$39,Summary!$B$38))</x:f>
        <x:v>1.6</x:v>
      </x:c>
      <x:c r="S388" s="113" t="str">
        <x:f>IF(Q388="","",Q388*R388)</x:f>
      </x:c>
    </x:row>
    <x:row r="389">
      <x:c r="A389" s="107"/>
      <x:c r="B389" s="108"/>
      <x:c r="C389" s="108"/>
      <x:c r="D389" s="108"/>
      <x:c r="E389" s="108"/>
      <x:c r="F389" s="108"/>
      <x:c r="G389" s="108"/>
      <x:c r="H389" s="108"/>
      <x:c r="I389" s="108"/>
      <x:c r="J389" s="108"/>
      <x:c r="K389" s="109"/>
      <x:c r="L389" s="110"/>
      <x:c r="M389" s="109" t="str">
        <x:f>IF(OR(K389="",L389=""),"",K389*L389)</x:f>
      </x:c>
      <x:c r="N389" s="108" t="str">
        <x:f>IF(I389="","Single",IF(LEFT(I389,2)="2x","Double","Single"))</x:f>
        <x:v>Single</x:v>
      </x:c>
      <x:c r="O389" s="109" t="n">
        <x:f>IF(N389="","",IF(N389="Double",Summary!$B$37,Summary!$B$36))</x:f>
        <x:v>5</x:v>
      </x:c>
      <x:c r="P389" s="109" t="str">
        <x:f>IF(K389="","",K389+O389)</x:f>
      </x:c>
      <x:c r="Q389" s="111" t="str">
        <x:f>IF(P389="","",P389*Summary!$B$35)</x:f>
      </x:c>
      <x:c r="R389" s="112" t="n">
        <x:f>IF(N389="","",IF(N389="Double",Summary!$B$39,Summary!$B$38))</x:f>
        <x:v>1.6</x:v>
      </x:c>
      <x:c r="S389" s="113" t="str">
        <x:f>IF(Q389="","",Q389*R389)</x:f>
      </x:c>
    </x:row>
    <x:row r="390">
      <x:c r="A390" s="107"/>
      <x:c r="B390" s="108"/>
      <x:c r="C390" s="108"/>
      <x:c r="D390" s="108"/>
      <x:c r="E390" s="108"/>
      <x:c r="F390" s="108"/>
      <x:c r="G390" s="108"/>
      <x:c r="H390" s="108"/>
      <x:c r="I390" s="108"/>
      <x:c r="J390" s="108"/>
      <x:c r="K390" s="109"/>
      <x:c r="L390" s="110"/>
      <x:c r="M390" s="109" t="str">
        <x:f>IF(OR(K390="",L390=""),"",K390*L390)</x:f>
      </x:c>
      <x:c r="N390" s="108" t="str">
        <x:f>IF(I390="","Single",IF(LEFT(I390,2)="2x","Double","Single"))</x:f>
        <x:v>Single</x:v>
      </x:c>
      <x:c r="O390" s="109" t="n">
        <x:f>IF(N390="","",IF(N390="Double",Summary!$B$37,Summary!$B$36))</x:f>
        <x:v>5</x:v>
      </x:c>
      <x:c r="P390" s="109" t="str">
        <x:f>IF(K390="","",K390+O390)</x:f>
      </x:c>
      <x:c r="Q390" s="111" t="str">
        <x:f>IF(P390="","",P390*Summary!$B$35)</x:f>
      </x:c>
      <x:c r="R390" s="112" t="n">
        <x:f>IF(N390="","",IF(N390="Double",Summary!$B$39,Summary!$B$38))</x:f>
        <x:v>1.6</x:v>
      </x:c>
      <x:c r="S390" s="113" t="str">
        <x:f>IF(Q390="","",Q390*R390)</x:f>
      </x:c>
    </x:row>
    <x:row r="391">
      <x:c r="A391" s="107"/>
      <x:c r="B391" s="108"/>
      <x:c r="C391" s="108"/>
      <x:c r="D391" s="108"/>
      <x:c r="E391" s="108"/>
      <x:c r="F391" s="108"/>
      <x:c r="G391" s="108"/>
      <x:c r="H391" s="108"/>
      <x:c r="I391" s="108"/>
      <x:c r="J391" s="108"/>
      <x:c r="K391" s="109"/>
      <x:c r="L391" s="110"/>
      <x:c r="M391" s="109" t="str">
        <x:f>IF(OR(K391="",L391=""),"",K391*L391)</x:f>
      </x:c>
      <x:c r="N391" s="108" t="str">
        <x:f>IF(I391="","Single",IF(LEFT(I391,2)="2x","Double","Single"))</x:f>
        <x:v>Single</x:v>
      </x:c>
      <x:c r="O391" s="109" t="n">
        <x:f>IF(N391="","",IF(N391="Double",Summary!$B$37,Summary!$B$36))</x:f>
        <x:v>5</x:v>
      </x:c>
      <x:c r="P391" s="109" t="str">
        <x:f>IF(K391="","",K391+O391)</x:f>
      </x:c>
      <x:c r="Q391" s="111" t="str">
        <x:f>IF(P391="","",P391*Summary!$B$35)</x:f>
      </x:c>
      <x:c r="R391" s="112" t="n">
        <x:f>IF(N391="","",IF(N391="Double",Summary!$B$39,Summary!$B$38))</x:f>
        <x:v>1.6</x:v>
      </x:c>
      <x:c r="S391" s="113" t="str">
        <x:f>IF(Q391="","",Q391*R391)</x:f>
      </x:c>
    </x:row>
    <x:row r="392">
      <x:c r="A392" s="107"/>
      <x:c r="B392" s="108"/>
      <x:c r="C392" s="108"/>
      <x:c r="D392" s="108"/>
      <x:c r="E392" s="108"/>
      <x:c r="F392" s="108"/>
      <x:c r="G392" s="108"/>
      <x:c r="H392" s="108"/>
      <x:c r="I392" s="108"/>
      <x:c r="J392" s="108"/>
      <x:c r="K392" s="109"/>
      <x:c r="L392" s="110"/>
      <x:c r="M392" s="109" t="str">
        <x:f>IF(OR(K392="",L392=""),"",K392*L392)</x:f>
      </x:c>
      <x:c r="N392" s="108" t="str">
        <x:f>IF(I392="","Single",IF(LEFT(I392,2)="2x","Double","Single"))</x:f>
        <x:v>Single</x:v>
      </x:c>
      <x:c r="O392" s="109" t="n">
        <x:f>IF(N392="","",IF(N392="Double",Summary!$B$37,Summary!$B$36))</x:f>
        <x:v>5</x:v>
      </x:c>
      <x:c r="P392" s="109" t="str">
        <x:f>IF(K392="","",K392+O392)</x:f>
      </x:c>
      <x:c r="Q392" s="111" t="str">
        <x:f>IF(P392="","",P392*Summary!$B$35)</x:f>
      </x:c>
      <x:c r="R392" s="112" t="n">
        <x:f>IF(N392="","",IF(N392="Double",Summary!$B$39,Summary!$B$38))</x:f>
        <x:v>1.6</x:v>
      </x:c>
      <x:c r="S392" s="113" t="str">
        <x:f>IF(Q392="","",Q392*R392)</x:f>
      </x:c>
    </x:row>
    <x:row r="393">
      <x:c r="A393" s="107"/>
      <x:c r="B393" s="108"/>
      <x:c r="C393" s="108"/>
      <x:c r="D393" s="108"/>
      <x:c r="E393" s="108"/>
      <x:c r="F393" s="108"/>
      <x:c r="G393" s="108"/>
      <x:c r="H393" s="108"/>
      <x:c r="I393" s="108"/>
      <x:c r="J393" s="108"/>
      <x:c r="K393" s="109"/>
      <x:c r="L393" s="110"/>
      <x:c r="M393" s="109" t="str">
        <x:f>IF(OR(K393="",L393=""),"",K393*L393)</x:f>
      </x:c>
      <x:c r="N393" s="108" t="str">
        <x:f>IF(I393="","Single",IF(LEFT(I393,2)="2x","Double","Single"))</x:f>
        <x:v>Single</x:v>
      </x:c>
      <x:c r="O393" s="109" t="n">
        <x:f>IF(N393="","",IF(N393="Double",Summary!$B$37,Summary!$B$36))</x:f>
        <x:v>5</x:v>
      </x:c>
      <x:c r="P393" s="109" t="str">
        <x:f>IF(K393="","",K393+O393)</x:f>
      </x:c>
      <x:c r="Q393" s="111" t="str">
        <x:f>IF(P393="","",P393*Summary!$B$35)</x:f>
      </x:c>
      <x:c r="R393" s="112" t="n">
        <x:f>IF(N393="","",IF(N393="Double",Summary!$B$39,Summary!$B$38))</x:f>
        <x:v>1.6</x:v>
      </x:c>
      <x:c r="S393" s="113" t="str">
        <x:f>IF(Q393="","",Q393*R393)</x:f>
      </x:c>
    </x:row>
    <x:row r="394">
      <x:c r="A394" s="107"/>
      <x:c r="B394" s="108"/>
      <x:c r="C394" s="108"/>
      <x:c r="D394" s="108"/>
      <x:c r="E394" s="108"/>
      <x:c r="F394" s="108"/>
      <x:c r="G394" s="108"/>
      <x:c r="H394" s="108"/>
      <x:c r="I394" s="108"/>
      <x:c r="J394" s="108"/>
      <x:c r="K394" s="109"/>
      <x:c r="L394" s="110"/>
      <x:c r="M394" s="109" t="str">
        <x:f>IF(OR(K394="",L394=""),"",K394*L394)</x:f>
      </x:c>
      <x:c r="N394" s="108" t="str">
        <x:f>IF(I394="","Single",IF(LEFT(I394,2)="2x","Double","Single"))</x:f>
        <x:v>Single</x:v>
      </x:c>
      <x:c r="O394" s="109" t="n">
        <x:f>IF(N394="","",IF(N394="Double",Summary!$B$37,Summary!$B$36))</x:f>
        <x:v>5</x:v>
      </x:c>
      <x:c r="P394" s="109" t="str">
        <x:f>IF(K394="","",K394+O394)</x:f>
      </x:c>
      <x:c r="Q394" s="111" t="str">
        <x:f>IF(P394="","",P394*Summary!$B$35)</x:f>
      </x:c>
      <x:c r="R394" s="112" t="n">
        <x:f>IF(N394="","",IF(N394="Double",Summary!$B$39,Summary!$B$38))</x:f>
        <x:v>1.6</x:v>
      </x:c>
      <x:c r="S394" s="113" t="str">
        <x:f>IF(Q394="","",Q394*R394)</x:f>
      </x:c>
    </x:row>
    <x:row r="395">
      <x:c r="A395" s="107"/>
      <x:c r="B395" s="108"/>
      <x:c r="C395" s="108"/>
      <x:c r="D395" s="108"/>
      <x:c r="E395" s="108"/>
      <x:c r="F395" s="108"/>
      <x:c r="G395" s="108"/>
      <x:c r="H395" s="108"/>
      <x:c r="I395" s="108"/>
      <x:c r="J395" s="108"/>
      <x:c r="K395" s="109"/>
      <x:c r="L395" s="110"/>
      <x:c r="M395" s="109" t="str">
        <x:f>IF(OR(K395="",L395=""),"",K395*L395)</x:f>
      </x:c>
      <x:c r="N395" s="108" t="str">
        <x:f>IF(I395="","Single",IF(LEFT(I395,2)="2x","Double","Single"))</x:f>
        <x:v>Single</x:v>
      </x:c>
      <x:c r="O395" s="109" t="n">
        <x:f>IF(N395="","",IF(N395="Double",Summary!$B$37,Summary!$B$36))</x:f>
        <x:v>5</x:v>
      </x:c>
      <x:c r="P395" s="109" t="str">
        <x:f>IF(K395="","",K395+O395)</x:f>
      </x:c>
      <x:c r="Q395" s="111" t="str">
        <x:f>IF(P395="","",P395*Summary!$B$35)</x:f>
      </x:c>
      <x:c r="R395" s="112" t="n">
        <x:f>IF(N395="","",IF(N395="Double",Summary!$B$39,Summary!$B$38))</x:f>
        <x:v>1.6</x:v>
      </x:c>
      <x:c r="S395" s="113" t="str">
        <x:f>IF(Q395="","",Q395*R395)</x:f>
      </x:c>
    </x:row>
    <x:row r="396">
      <x:c r="A396" s="107"/>
      <x:c r="B396" s="108"/>
      <x:c r="C396" s="108"/>
      <x:c r="D396" s="108"/>
      <x:c r="E396" s="108"/>
      <x:c r="F396" s="108"/>
      <x:c r="G396" s="108"/>
      <x:c r="H396" s="108"/>
      <x:c r="I396" s="108"/>
      <x:c r="J396" s="108"/>
      <x:c r="K396" s="109"/>
      <x:c r="L396" s="110"/>
      <x:c r="M396" s="109" t="str">
        <x:f>IF(OR(K396="",L396=""),"",K396*L396)</x:f>
      </x:c>
      <x:c r="N396" s="108" t="str">
        <x:f>IF(I396="","Single",IF(LEFT(I396,2)="2x","Double","Single"))</x:f>
        <x:v>Single</x:v>
      </x:c>
      <x:c r="O396" s="109" t="n">
        <x:f>IF(N396="","",IF(N396="Double",Summary!$B$37,Summary!$B$36))</x:f>
        <x:v>5</x:v>
      </x:c>
      <x:c r="P396" s="109" t="str">
        <x:f>IF(K396="","",K396+O396)</x:f>
      </x:c>
      <x:c r="Q396" s="111" t="str">
        <x:f>IF(P396="","",P396*Summary!$B$35)</x:f>
      </x:c>
      <x:c r="R396" s="112" t="n">
        <x:f>IF(N396="","",IF(N396="Double",Summary!$B$39,Summary!$B$38))</x:f>
        <x:v>1.6</x:v>
      </x:c>
      <x:c r="S396" s="113" t="str">
        <x:f>IF(Q396="","",Q396*R396)</x:f>
      </x:c>
    </x:row>
    <x:row r="397">
      <x:c r="A397" s="107"/>
      <x:c r="B397" s="108"/>
      <x:c r="C397" s="108"/>
      <x:c r="D397" s="108"/>
      <x:c r="E397" s="108"/>
      <x:c r="F397" s="108"/>
      <x:c r="G397" s="108"/>
      <x:c r="H397" s="108"/>
      <x:c r="I397" s="108"/>
      <x:c r="J397" s="108"/>
      <x:c r="K397" s="109"/>
      <x:c r="L397" s="110"/>
      <x:c r="M397" s="109" t="str">
        <x:f>IF(OR(K397="",L397=""),"",K397*L397)</x:f>
      </x:c>
      <x:c r="N397" s="108" t="str">
        <x:f>IF(I397="","Single",IF(LEFT(I397,2)="2x","Double","Single"))</x:f>
        <x:v>Single</x:v>
      </x:c>
      <x:c r="O397" s="109" t="n">
        <x:f>IF(N397="","",IF(N397="Double",Summary!$B$37,Summary!$B$36))</x:f>
        <x:v>5</x:v>
      </x:c>
      <x:c r="P397" s="109" t="str">
        <x:f>IF(K397="","",K397+O397)</x:f>
      </x:c>
      <x:c r="Q397" s="111" t="str">
        <x:f>IF(P397="","",P397*Summary!$B$35)</x:f>
      </x:c>
      <x:c r="R397" s="112" t="n">
        <x:f>IF(N397="","",IF(N397="Double",Summary!$B$39,Summary!$B$38))</x:f>
        <x:v>1.6</x:v>
      </x:c>
      <x:c r="S397" s="113" t="str">
        <x:f>IF(Q397="","",Q397*R397)</x:f>
      </x:c>
    </x:row>
    <x:row r="398">
      <x:c r="A398" s="107"/>
      <x:c r="B398" s="108"/>
      <x:c r="C398" s="108"/>
      <x:c r="D398" s="108"/>
      <x:c r="E398" s="108"/>
      <x:c r="F398" s="108"/>
      <x:c r="G398" s="108"/>
      <x:c r="H398" s="108"/>
      <x:c r="I398" s="108"/>
      <x:c r="J398" s="108"/>
      <x:c r="K398" s="109"/>
      <x:c r="L398" s="110"/>
      <x:c r="M398" s="109" t="str">
        <x:f>IF(OR(K398="",L398=""),"",K398*L398)</x:f>
      </x:c>
      <x:c r="N398" s="108" t="str">
        <x:f>IF(I398="","Single",IF(LEFT(I398,2)="2x","Double","Single"))</x:f>
        <x:v>Single</x:v>
      </x:c>
      <x:c r="O398" s="109" t="n">
        <x:f>IF(N398="","",IF(N398="Double",Summary!$B$37,Summary!$B$36))</x:f>
        <x:v>5</x:v>
      </x:c>
      <x:c r="P398" s="109" t="str">
        <x:f>IF(K398="","",K398+O398)</x:f>
      </x:c>
      <x:c r="Q398" s="111" t="str">
        <x:f>IF(P398="","",P398*Summary!$B$35)</x:f>
      </x:c>
      <x:c r="R398" s="112" t="n">
        <x:f>IF(N398="","",IF(N398="Double",Summary!$B$39,Summary!$B$38))</x:f>
        <x:v>1.6</x:v>
      </x:c>
      <x:c r="S398" s="113" t="str">
        <x:f>IF(Q398="","",Q398*R398)</x:f>
      </x:c>
    </x:row>
    <x:row r="399">
      <x:c r="A399" s="107"/>
      <x:c r="B399" s="108"/>
      <x:c r="C399" s="108"/>
      <x:c r="D399" s="108"/>
      <x:c r="E399" s="108"/>
      <x:c r="F399" s="108"/>
      <x:c r="G399" s="108"/>
      <x:c r="H399" s="108"/>
      <x:c r="I399" s="108"/>
      <x:c r="J399" s="108"/>
      <x:c r="K399" s="109"/>
      <x:c r="L399" s="110"/>
      <x:c r="M399" s="109" t="str">
        <x:f>IF(OR(K399="",L399=""),"",K399*L399)</x:f>
      </x:c>
      <x:c r="N399" s="108" t="str">
        <x:f>IF(I399="","Single",IF(LEFT(I399,2)="2x","Double","Single"))</x:f>
        <x:v>Single</x:v>
      </x:c>
      <x:c r="O399" s="109" t="n">
        <x:f>IF(N399="","",IF(N399="Double",Summary!$B$37,Summary!$B$36))</x:f>
        <x:v>5</x:v>
      </x:c>
      <x:c r="P399" s="109" t="str">
        <x:f>IF(K399="","",K399+O399)</x:f>
      </x:c>
      <x:c r="Q399" s="111" t="str">
        <x:f>IF(P399="","",P399*Summary!$B$35)</x:f>
      </x:c>
      <x:c r="R399" s="112" t="n">
        <x:f>IF(N399="","",IF(N399="Double",Summary!$B$39,Summary!$B$38))</x:f>
        <x:v>1.6</x:v>
      </x:c>
      <x:c r="S399" s="113" t="str">
        <x:f>IF(Q399="","",Q399*R399)</x:f>
      </x:c>
    </x:row>
    <x:row r="400">
      <x:c r="A400" s="107"/>
      <x:c r="B400" s="108"/>
      <x:c r="C400" s="108"/>
      <x:c r="D400" s="108"/>
      <x:c r="E400" s="108"/>
      <x:c r="F400" s="108"/>
      <x:c r="G400" s="108"/>
      <x:c r="H400" s="108"/>
      <x:c r="I400" s="108"/>
      <x:c r="J400" s="108"/>
      <x:c r="K400" s="109"/>
      <x:c r="L400" s="110"/>
      <x:c r="M400" s="109" t="str">
        <x:f>IF(OR(K400="",L400=""),"",K400*L400)</x:f>
      </x:c>
      <x:c r="N400" s="108" t="str">
        <x:f>IF(I400="","Single",IF(LEFT(I400,2)="2x","Double","Single"))</x:f>
        <x:v>Single</x:v>
      </x:c>
      <x:c r="O400" s="109" t="n">
        <x:f>IF(N400="","",IF(N400="Double",Summary!$B$37,Summary!$B$36))</x:f>
        <x:v>5</x:v>
      </x:c>
      <x:c r="P400" s="109" t="str">
        <x:f>IF(K400="","",K400+O400)</x:f>
      </x:c>
      <x:c r="Q400" s="111" t="str">
        <x:f>IF(P400="","",P400*Summary!$B$35)</x:f>
      </x:c>
      <x:c r="R400" s="112" t="n">
        <x:f>IF(N400="","",IF(N400="Double",Summary!$B$39,Summary!$B$38))</x:f>
        <x:v>1.6</x:v>
      </x:c>
      <x:c r="S400" s="113" t="str">
        <x:f>IF(Q400="","",Q400*R400)</x:f>
      </x:c>
    </x:row>
    <x:row r="401">
      <x:c r="A401" s="107"/>
      <x:c r="B401" s="108"/>
      <x:c r="C401" s="108"/>
      <x:c r="D401" s="108"/>
      <x:c r="E401" s="108"/>
      <x:c r="F401" s="108"/>
      <x:c r="G401" s="108"/>
      <x:c r="H401" s="108"/>
      <x:c r="I401" s="108"/>
      <x:c r="J401" s="108"/>
      <x:c r="K401" s="109"/>
      <x:c r="L401" s="110"/>
      <x:c r="M401" s="109" t="str">
        <x:f>IF(OR(K401="",L401=""),"",K401*L401)</x:f>
      </x:c>
      <x:c r="N401" s="108" t="str">
        <x:f>IF(I401="","Single",IF(LEFT(I401,2)="2x","Double","Single"))</x:f>
        <x:v>Single</x:v>
      </x:c>
      <x:c r="O401" s="109" t="n">
        <x:f>IF(N401="","",IF(N401="Double",Summary!$B$37,Summary!$B$36))</x:f>
        <x:v>5</x:v>
      </x:c>
      <x:c r="P401" s="109" t="str">
        <x:f>IF(K401="","",K401+O401)</x:f>
      </x:c>
      <x:c r="Q401" s="111" t="str">
        <x:f>IF(P401="","",P401*Summary!$B$35)</x:f>
      </x:c>
      <x:c r="R401" s="112" t="n">
        <x:f>IF(N401="","",IF(N401="Double",Summary!$B$39,Summary!$B$38))</x:f>
        <x:v>1.6</x:v>
      </x:c>
      <x:c r="S401" s="113" t="str">
        <x:f>IF(Q401="","",Q401*R401)</x:f>
      </x:c>
    </x:row>
    <x:row r="402">
      <x:c r="A402" s="107"/>
      <x:c r="B402" s="108"/>
      <x:c r="C402" s="108"/>
      <x:c r="D402" s="108"/>
      <x:c r="E402" s="108"/>
      <x:c r="F402" s="108"/>
      <x:c r="G402" s="108"/>
      <x:c r="H402" s="108"/>
      <x:c r="I402" s="108"/>
      <x:c r="J402" s="108"/>
      <x:c r="K402" s="109"/>
      <x:c r="L402" s="110"/>
      <x:c r="M402" s="109" t="str">
        <x:f>IF(OR(K402="",L402=""),"",K402*L402)</x:f>
      </x:c>
      <x:c r="N402" s="108" t="str">
        <x:f>IF(I402="","Single",IF(LEFT(I402,2)="2x","Double","Single"))</x:f>
        <x:v>Single</x:v>
      </x:c>
      <x:c r="O402" s="109" t="n">
        <x:f>IF(N402="","",IF(N402="Double",Summary!$B$37,Summary!$B$36))</x:f>
        <x:v>5</x:v>
      </x:c>
      <x:c r="P402" s="109" t="str">
        <x:f>IF(K402="","",K402+O402)</x:f>
      </x:c>
      <x:c r="Q402" s="111" t="str">
        <x:f>IF(P402="","",P402*Summary!$B$35)</x:f>
      </x:c>
      <x:c r="R402" s="112" t="n">
        <x:f>IF(N402="","",IF(N402="Double",Summary!$B$39,Summary!$B$38))</x:f>
        <x:v>1.6</x:v>
      </x:c>
      <x:c r="S402" s="113" t="str">
        <x:f>IF(Q402="","",Q402*R402)</x:f>
      </x:c>
    </x:row>
    <x:row r="403">
      <x:c r="A403" s="107"/>
      <x:c r="B403" s="108"/>
      <x:c r="C403" s="108"/>
      <x:c r="D403" s="108"/>
      <x:c r="E403" s="108"/>
      <x:c r="F403" s="108"/>
      <x:c r="G403" s="108"/>
      <x:c r="H403" s="108"/>
      <x:c r="I403" s="108"/>
      <x:c r="J403" s="108"/>
      <x:c r="K403" s="109"/>
      <x:c r="L403" s="110"/>
      <x:c r="M403" s="109" t="str">
        <x:f>IF(OR(K403="",L403=""),"",K403*L403)</x:f>
      </x:c>
      <x:c r="N403" s="108" t="str">
        <x:f>IF(I403="","Single",IF(LEFT(I403,2)="2x","Double","Single"))</x:f>
        <x:v>Single</x:v>
      </x:c>
      <x:c r="O403" s="109" t="n">
        <x:f>IF(N403="","",IF(N403="Double",Summary!$B$37,Summary!$B$36))</x:f>
        <x:v>5</x:v>
      </x:c>
      <x:c r="P403" s="109" t="str">
        <x:f>IF(K403="","",K403+O403)</x:f>
      </x:c>
      <x:c r="Q403" s="111" t="str">
        <x:f>IF(P403="","",P403*Summary!$B$35)</x:f>
      </x:c>
      <x:c r="R403" s="112" t="n">
        <x:f>IF(N403="","",IF(N403="Double",Summary!$B$39,Summary!$B$38))</x:f>
        <x:v>1.6</x:v>
      </x:c>
      <x:c r="S403" s="113" t="str">
        <x:f>IF(Q403="","",Q403*R403)</x:f>
      </x:c>
    </x:row>
    <x:row r="404">
      <x:c r="A404" s="107"/>
      <x:c r="B404" s="108"/>
      <x:c r="C404" s="108"/>
      <x:c r="D404" s="108"/>
      <x:c r="E404" s="108"/>
      <x:c r="F404" s="108"/>
      <x:c r="G404" s="108"/>
      <x:c r="H404" s="108"/>
      <x:c r="I404" s="108"/>
      <x:c r="J404" s="108"/>
      <x:c r="K404" s="109"/>
      <x:c r="L404" s="110"/>
      <x:c r="M404" s="109" t="str">
        <x:f>IF(OR(K404="",L404=""),"",K404*L404)</x:f>
      </x:c>
      <x:c r="N404" s="108" t="str">
        <x:f>IF(I404="","Single",IF(LEFT(I404,2)="2x","Double","Single"))</x:f>
        <x:v>Single</x:v>
      </x:c>
      <x:c r="O404" s="109" t="n">
        <x:f>IF(N404="","",IF(N404="Double",Summary!$B$37,Summary!$B$36))</x:f>
        <x:v>5</x:v>
      </x:c>
      <x:c r="P404" s="109" t="str">
        <x:f>IF(K404="","",K404+O404)</x:f>
      </x:c>
      <x:c r="Q404" s="111" t="str">
        <x:f>IF(P404="","",P404*Summary!$B$35)</x:f>
      </x:c>
      <x:c r="R404" s="112" t="n">
        <x:f>IF(N404="","",IF(N404="Double",Summary!$B$39,Summary!$B$38))</x:f>
        <x:v>1.6</x:v>
      </x:c>
      <x:c r="S404" s="113" t="str">
        <x:f>IF(Q404="","",Q404*R404)</x:f>
      </x:c>
    </x:row>
    <x:row r="405">
      <x:c r="A405" s="107"/>
      <x:c r="B405" s="108"/>
      <x:c r="C405" s="108"/>
      <x:c r="D405" s="108"/>
      <x:c r="E405" s="108"/>
      <x:c r="F405" s="108"/>
      <x:c r="G405" s="108"/>
      <x:c r="H405" s="108"/>
      <x:c r="I405" s="108"/>
      <x:c r="J405" s="108"/>
      <x:c r="K405" s="109"/>
      <x:c r="L405" s="110"/>
      <x:c r="M405" s="109" t="str">
        <x:f>IF(OR(K405="",L405=""),"",K405*L405)</x:f>
      </x:c>
      <x:c r="N405" s="108" t="str">
        <x:f>IF(I405="","Single",IF(LEFT(I405,2)="2x","Double","Single"))</x:f>
        <x:v>Single</x:v>
      </x:c>
      <x:c r="O405" s="109" t="n">
        <x:f>IF(N405="","",IF(N405="Double",Summary!$B$37,Summary!$B$36))</x:f>
        <x:v>5</x:v>
      </x:c>
      <x:c r="P405" s="109" t="str">
        <x:f>IF(K405="","",K405+O405)</x:f>
      </x:c>
      <x:c r="Q405" s="111" t="str">
        <x:f>IF(P405="","",P405*Summary!$B$35)</x:f>
      </x:c>
      <x:c r="R405" s="112" t="n">
        <x:f>IF(N405="","",IF(N405="Double",Summary!$B$39,Summary!$B$38))</x:f>
        <x:v>1.6</x:v>
      </x:c>
      <x:c r="S405" s="113" t="str">
        <x:f>IF(Q405="","",Q405*R405)</x:f>
      </x:c>
    </x:row>
    <x:row r="406">
      <x:c r="A406" s="107"/>
      <x:c r="B406" s="108"/>
      <x:c r="C406" s="108"/>
      <x:c r="D406" s="108"/>
      <x:c r="E406" s="108"/>
      <x:c r="F406" s="108"/>
      <x:c r="G406" s="108"/>
      <x:c r="H406" s="108"/>
      <x:c r="I406" s="108"/>
      <x:c r="J406" s="108"/>
      <x:c r="K406" s="109"/>
      <x:c r="L406" s="110"/>
      <x:c r="M406" s="109" t="str">
        <x:f>IF(OR(K406="",L406=""),"",K406*L406)</x:f>
      </x:c>
      <x:c r="N406" s="108" t="str">
        <x:f>IF(I406="","Single",IF(LEFT(I406,2)="2x","Double","Single"))</x:f>
        <x:v>Single</x:v>
      </x:c>
      <x:c r="O406" s="109" t="n">
        <x:f>IF(N406="","",IF(N406="Double",Summary!$B$37,Summary!$B$36))</x:f>
        <x:v>5</x:v>
      </x:c>
      <x:c r="P406" s="109" t="str">
        <x:f>IF(K406="","",K406+O406)</x:f>
      </x:c>
      <x:c r="Q406" s="111" t="str">
        <x:f>IF(P406="","",P406*Summary!$B$35)</x:f>
      </x:c>
      <x:c r="R406" s="112" t="n">
        <x:f>IF(N406="","",IF(N406="Double",Summary!$B$39,Summary!$B$38))</x:f>
        <x:v>1.6</x:v>
      </x:c>
      <x:c r="S406" s="113" t="str">
        <x:f>IF(Q406="","",Q406*R406)</x:f>
      </x:c>
    </x:row>
    <x:row r="407">
      <x:c r="A407" s="107"/>
      <x:c r="B407" s="108"/>
      <x:c r="C407" s="108"/>
      <x:c r="D407" s="108"/>
      <x:c r="E407" s="108"/>
      <x:c r="F407" s="108"/>
      <x:c r="G407" s="108"/>
      <x:c r="H407" s="108"/>
      <x:c r="I407" s="108"/>
      <x:c r="J407" s="108"/>
      <x:c r="K407" s="109"/>
      <x:c r="L407" s="110"/>
      <x:c r="M407" s="109" t="str">
        <x:f>IF(OR(K407="",L407=""),"",K407*L407)</x:f>
      </x:c>
      <x:c r="N407" s="108" t="str">
        <x:f>IF(I407="","Single",IF(LEFT(I407,2)="2x","Double","Single"))</x:f>
        <x:v>Single</x:v>
      </x:c>
      <x:c r="O407" s="109" t="n">
        <x:f>IF(N407="","",IF(N407="Double",Summary!$B$37,Summary!$B$36))</x:f>
        <x:v>5</x:v>
      </x:c>
      <x:c r="P407" s="109" t="str">
        <x:f>IF(K407="","",K407+O407)</x:f>
      </x:c>
      <x:c r="Q407" s="111" t="str">
        <x:f>IF(P407="","",P407*Summary!$B$35)</x:f>
      </x:c>
      <x:c r="R407" s="112" t="n">
        <x:f>IF(N407="","",IF(N407="Double",Summary!$B$39,Summary!$B$38))</x:f>
        <x:v>1.6</x:v>
      </x:c>
      <x:c r="S407" s="113" t="str">
        <x:f>IF(Q407="","",Q407*R407)</x:f>
      </x:c>
    </x:row>
    <x:row r="408">
      <x:c r="A408" s="107"/>
      <x:c r="B408" s="108"/>
      <x:c r="C408" s="108"/>
      <x:c r="D408" s="108"/>
      <x:c r="E408" s="108"/>
      <x:c r="F408" s="108"/>
      <x:c r="G408" s="108"/>
      <x:c r="H408" s="108"/>
      <x:c r="I408" s="108"/>
      <x:c r="J408" s="108"/>
      <x:c r="K408" s="109"/>
      <x:c r="L408" s="110"/>
      <x:c r="M408" s="109" t="str">
        <x:f>IF(OR(K408="",L408=""),"",K408*L408)</x:f>
      </x:c>
      <x:c r="N408" s="108" t="str">
        <x:f>IF(I408="","Single",IF(LEFT(I408,2)="2x","Double","Single"))</x:f>
        <x:v>Single</x:v>
      </x:c>
      <x:c r="O408" s="109" t="n">
        <x:f>IF(N408="","",IF(N408="Double",Summary!$B$37,Summary!$B$36))</x:f>
        <x:v>5</x:v>
      </x:c>
      <x:c r="P408" s="109" t="str">
        <x:f>IF(K408="","",K408+O408)</x:f>
      </x:c>
      <x:c r="Q408" s="111" t="str">
        <x:f>IF(P408="","",P408*Summary!$B$35)</x:f>
      </x:c>
      <x:c r="R408" s="112" t="n">
        <x:f>IF(N408="","",IF(N408="Double",Summary!$B$39,Summary!$B$38))</x:f>
        <x:v>1.6</x:v>
      </x:c>
      <x:c r="S408" s="113" t="str">
        <x:f>IF(Q408="","",Q408*R408)</x:f>
      </x:c>
    </x:row>
    <x:row r="409">
      <x:c r="A409" s="107"/>
      <x:c r="B409" s="108"/>
      <x:c r="C409" s="108"/>
      <x:c r="D409" s="108"/>
      <x:c r="E409" s="108"/>
      <x:c r="F409" s="108"/>
      <x:c r="G409" s="108"/>
      <x:c r="H409" s="108"/>
      <x:c r="I409" s="108"/>
      <x:c r="J409" s="108"/>
      <x:c r="K409" s="109"/>
      <x:c r="L409" s="110"/>
      <x:c r="M409" s="109" t="str">
        <x:f>IF(OR(K409="",L409=""),"",K409*L409)</x:f>
      </x:c>
      <x:c r="N409" s="108" t="str">
        <x:f>IF(I409="","Single",IF(LEFT(I409,2)="2x","Double","Single"))</x:f>
        <x:v>Single</x:v>
      </x:c>
      <x:c r="O409" s="109" t="n">
        <x:f>IF(N409="","",IF(N409="Double",Summary!$B$37,Summary!$B$36))</x:f>
        <x:v>5</x:v>
      </x:c>
      <x:c r="P409" s="109" t="str">
        <x:f>IF(K409="","",K409+O409)</x:f>
      </x:c>
      <x:c r="Q409" s="111" t="str">
        <x:f>IF(P409="","",P409*Summary!$B$35)</x:f>
      </x:c>
      <x:c r="R409" s="112" t="n">
        <x:f>IF(N409="","",IF(N409="Double",Summary!$B$39,Summary!$B$38))</x:f>
        <x:v>1.6</x:v>
      </x:c>
      <x:c r="S409" s="113" t="str">
        <x:f>IF(Q409="","",Q409*R409)</x:f>
      </x:c>
    </x:row>
    <x:row r="410">
      <x:c r="A410" s="107"/>
      <x:c r="B410" s="108"/>
      <x:c r="C410" s="108"/>
      <x:c r="D410" s="108"/>
      <x:c r="E410" s="108"/>
      <x:c r="F410" s="108"/>
      <x:c r="G410" s="108"/>
      <x:c r="H410" s="108"/>
      <x:c r="I410" s="108"/>
      <x:c r="J410" s="108"/>
      <x:c r="K410" s="109"/>
      <x:c r="L410" s="110"/>
      <x:c r="M410" s="109" t="str">
        <x:f>IF(OR(K410="",L410=""),"",K410*L410)</x:f>
      </x:c>
      <x:c r="N410" s="108" t="str">
        <x:f>IF(I410="","Single",IF(LEFT(I410,2)="2x","Double","Single"))</x:f>
        <x:v>Single</x:v>
      </x:c>
      <x:c r="O410" s="109" t="n">
        <x:f>IF(N410="","",IF(N410="Double",Summary!$B$37,Summary!$B$36))</x:f>
        <x:v>5</x:v>
      </x:c>
      <x:c r="P410" s="109" t="str">
        <x:f>IF(K410="","",K410+O410)</x:f>
      </x:c>
      <x:c r="Q410" s="111" t="str">
        <x:f>IF(P410="","",P410*Summary!$B$35)</x:f>
      </x:c>
      <x:c r="R410" s="112" t="n">
        <x:f>IF(N410="","",IF(N410="Double",Summary!$B$39,Summary!$B$38))</x:f>
        <x:v>1.6</x:v>
      </x:c>
      <x:c r="S410" s="113" t="str">
        <x:f>IF(Q410="","",Q410*R410)</x:f>
      </x:c>
    </x:row>
    <x:row r="411">
      <x:c r="A411" s="107"/>
      <x:c r="B411" s="108"/>
      <x:c r="C411" s="108"/>
      <x:c r="D411" s="108"/>
      <x:c r="E411" s="108"/>
      <x:c r="F411" s="108"/>
      <x:c r="G411" s="108"/>
      <x:c r="H411" s="108"/>
      <x:c r="I411" s="108"/>
      <x:c r="J411" s="108"/>
      <x:c r="K411" s="109"/>
      <x:c r="L411" s="110"/>
      <x:c r="M411" s="109" t="str">
        <x:f>IF(OR(K411="",L411=""),"",K411*L411)</x:f>
      </x:c>
      <x:c r="N411" s="108" t="str">
        <x:f>IF(I411="","Single",IF(LEFT(I411,2)="2x","Double","Single"))</x:f>
        <x:v>Single</x:v>
      </x:c>
      <x:c r="O411" s="109" t="n">
        <x:f>IF(N411="","",IF(N411="Double",Summary!$B$37,Summary!$B$36))</x:f>
        <x:v>5</x:v>
      </x:c>
      <x:c r="P411" s="109" t="str">
        <x:f>IF(K411="","",K411+O411)</x:f>
      </x:c>
      <x:c r="Q411" s="111" t="str">
        <x:f>IF(P411="","",P411*Summary!$B$35)</x:f>
      </x:c>
      <x:c r="R411" s="112" t="n">
        <x:f>IF(N411="","",IF(N411="Double",Summary!$B$39,Summary!$B$38))</x:f>
        <x:v>1.6</x:v>
      </x:c>
      <x:c r="S411" s="113" t="str">
        <x:f>IF(Q411="","",Q411*R411)</x:f>
      </x:c>
    </x:row>
    <x:row r="412">
      <x:c r="A412" s="107"/>
      <x:c r="B412" s="108"/>
      <x:c r="C412" s="108"/>
      <x:c r="D412" s="108"/>
      <x:c r="E412" s="108"/>
      <x:c r="F412" s="108"/>
      <x:c r="G412" s="108"/>
      <x:c r="H412" s="108"/>
      <x:c r="I412" s="108"/>
      <x:c r="J412" s="108"/>
      <x:c r="K412" s="109"/>
      <x:c r="L412" s="110"/>
      <x:c r="M412" s="109" t="str">
        <x:f>IF(OR(K412="",L412=""),"",K412*L412)</x:f>
      </x:c>
      <x:c r="N412" s="108" t="str">
        <x:f>IF(I412="","Single",IF(LEFT(I412,2)="2x","Double","Single"))</x:f>
        <x:v>Single</x:v>
      </x:c>
      <x:c r="O412" s="109" t="n">
        <x:f>IF(N412="","",IF(N412="Double",Summary!$B$37,Summary!$B$36))</x:f>
        <x:v>5</x:v>
      </x:c>
      <x:c r="P412" s="109" t="str">
        <x:f>IF(K412="","",K412+O412)</x:f>
      </x:c>
      <x:c r="Q412" s="111" t="str">
        <x:f>IF(P412="","",P412*Summary!$B$35)</x:f>
      </x:c>
      <x:c r="R412" s="112" t="n">
        <x:f>IF(N412="","",IF(N412="Double",Summary!$B$39,Summary!$B$38))</x:f>
        <x:v>1.6</x:v>
      </x:c>
      <x:c r="S412" s="113" t="str">
        <x:f>IF(Q412="","",Q412*R412)</x:f>
      </x:c>
    </x:row>
    <x:row r="413">
      <x:c r="A413" s="107"/>
      <x:c r="B413" s="108"/>
      <x:c r="C413" s="108"/>
      <x:c r="D413" s="108"/>
      <x:c r="E413" s="108"/>
      <x:c r="F413" s="108"/>
      <x:c r="G413" s="108"/>
      <x:c r="H413" s="108"/>
      <x:c r="I413" s="108"/>
      <x:c r="J413" s="108"/>
      <x:c r="K413" s="109"/>
      <x:c r="L413" s="110"/>
      <x:c r="M413" s="109" t="str">
        <x:f>IF(OR(K413="",L413=""),"",K413*L413)</x:f>
      </x:c>
      <x:c r="N413" s="108" t="str">
        <x:f>IF(I413="","Single",IF(LEFT(I413,2)="2x","Double","Single"))</x:f>
        <x:v>Single</x:v>
      </x:c>
      <x:c r="O413" s="109" t="n">
        <x:f>IF(N413="","",IF(N413="Double",Summary!$B$37,Summary!$B$36))</x:f>
        <x:v>5</x:v>
      </x:c>
      <x:c r="P413" s="109" t="str">
        <x:f>IF(K413="","",K413+O413)</x:f>
      </x:c>
      <x:c r="Q413" s="111" t="str">
        <x:f>IF(P413="","",P413*Summary!$B$35)</x:f>
      </x:c>
      <x:c r="R413" s="112" t="n">
        <x:f>IF(N413="","",IF(N413="Double",Summary!$B$39,Summary!$B$38))</x:f>
        <x:v>1.6</x:v>
      </x:c>
      <x:c r="S413" s="113" t="str">
        <x:f>IF(Q413="","",Q413*R413)</x:f>
      </x:c>
    </x:row>
    <x:row r="414">
      <x:c r="A414" s="107"/>
      <x:c r="B414" s="108"/>
      <x:c r="C414" s="108"/>
      <x:c r="D414" s="108"/>
      <x:c r="E414" s="108"/>
      <x:c r="F414" s="108"/>
      <x:c r="G414" s="108"/>
      <x:c r="H414" s="108"/>
      <x:c r="I414" s="108"/>
      <x:c r="J414" s="108"/>
      <x:c r="K414" s="109"/>
      <x:c r="L414" s="110"/>
      <x:c r="M414" s="109" t="str">
        <x:f>IF(OR(K414="",L414=""),"",K414*L414)</x:f>
      </x:c>
      <x:c r="N414" s="108" t="str">
        <x:f>IF(I414="","Single",IF(LEFT(I414,2)="2x","Double","Single"))</x:f>
        <x:v>Single</x:v>
      </x:c>
      <x:c r="O414" s="109" t="n">
        <x:f>IF(N414="","",IF(N414="Double",Summary!$B$37,Summary!$B$36))</x:f>
        <x:v>5</x:v>
      </x:c>
      <x:c r="P414" s="109" t="str">
        <x:f>IF(K414="","",K414+O414)</x:f>
      </x:c>
      <x:c r="Q414" s="111" t="str">
        <x:f>IF(P414="","",P414*Summary!$B$35)</x:f>
      </x:c>
      <x:c r="R414" s="112" t="n">
        <x:f>IF(N414="","",IF(N414="Double",Summary!$B$39,Summary!$B$38))</x:f>
        <x:v>1.6</x:v>
      </x:c>
      <x:c r="S414" s="113" t="str">
        <x:f>IF(Q414="","",Q414*R414)</x:f>
      </x:c>
    </x:row>
    <x:row r="415">
      <x:c r="A415" s="107"/>
      <x:c r="B415" s="108"/>
      <x:c r="C415" s="108"/>
      <x:c r="D415" s="108"/>
      <x:c r="E415" s="108"/>
      <x:c r="F415" s="108"/>
      <x:c r="G415" s="108"/>
      <x:c r="H415" s="108"/>
      <x:c r="I415" s="108"/>
      <x:c r="J415" s="108"/>
      <x:c r="K415" s="109"/>
      <x:c r="L415" s="110"/>
      <x:c r="M415" s="109" t="str">
        <x:f>IF(OR(K415="",L415=""),"",K415*L415)</x:f>
      </x:c>
      <x:c r="N415" s="108" t="str">
        <x:f>IF(I415="","Single",IF(LEFT(I415,2)="2x","Double","Single"))</x:f>
        <x:v>Single</x:v>
      </x:c>
      <x:c r="O415" s="109" t="n">
        <x:f>IF(N415="","",IF(N415="Double",Summary!$B$37,Summary!$B$36))</x:f>
        <x:v>5</x:v>
      </x:c>
      <x:c r="P415" s="109" t="str">
        <x:f>IF(K415="","",K415+O415)</x:f>
      </x:c>
      <x:c r="Q415" s="111" t="str">
        <x:f>IF(P415="","",P415*Summary!$B$35)</x:f>
      </x:c>
      <x:c r="R415" s="112" t="n">
        <x:f>IF(N415="","",IF(N415="Double",Summary!$B$39,Summary!$B$38))</x:f>
        <x:v>1.6</x:v>
      </x:c>
      <x:c r="S415" s="113" t="str">
        <x:f>IF(Q415="","",Q415*R415)</x:f>
      </x:c>
    </x:row>
    <x:row r="416">
      <x:c r="A416" s="107"/>
      <x:c r="B416" s="108"/>
      <x:c r="C416" s="108"/>
      <x:c r="D416" s="108"/>
      <x:c r="E416" s="108"/>
      <x:c r="F416" s="108"/>
      <x:c r="G416" s="108"/>
      <x:c r="H416" s="108"/>
      <x:c r="I416" s="108"/>
      <x:c r="J416" s="108"/>
      <x:c r="K416" s="109"/>
      <x:c r="L416" s="110"/>
      <x:c r="M416" s="109" t="str">
        <x:f>IF(OR(K416="",L416=""),"",K416*L416)</x:f>
      </x:c>
      <x:c r="N416" s="108" t="str">
        <x:f>IF(I416="","Single",IF(LEFT(I416,2)="2x","Double","Single"))</x:f>
        <x:v>Single</x:v>
      </x:c>
      <x:c r="O416" s="109" t="n">
        <x:f>IF(N416="","",IF(N416="Double",Summary!$B$37,Summary!$B$36))</x:f>
        <x:v>5</x:v>
      </x:c>
      <x:c r="P416" s="109" t="str">
        <x:f>IF(K416="","",K416+O416)</x:f>
      </x:c>
      <x:c r="Q416" s="111" t="str">
        <x:f>IF(P416="","",P416*Summary!$B$35)</x:f>
      </x:c>
      <x:c r="R416" s="112" t="n">
        <x:f>IF(N416="","",IF(N416="Double",Summary!$B$39,Summary!$B$38))</x:f>
        <x:v>1.6</x:v>
      </x:c>
      <x:c r="S416" s="113" t="str">
        <x:f>IF(Q416="","",Q416*R416)</x:f>
      </x:c>
    </x:row>
    <x:row r="417">
      <x:c r="A417" s="107"/>
      <x:c r="B417" s="108"/>
      <x:c r="C417" s="108"/>
      <x:c r="D417" s="108"/>
      <x:c r="E417" s="108"/>
      <x:c r="F417" s="108"/>
      <x:c r="G417" s="108"/>
      <x:c r="H417" s="108"/>
      <x:c r="I417" s="108"/>
      <x:c r="J417" s="108"/>
      <x:c r="K417" s="109"/>
      <x:c r="L417" s="110"/>
      <x:c r="M417" s="109" t="str">
        <x:f>IF(OR(K417="",L417=""),"",K417*L417)</x:f>
      </x:c>
      <x:c r="N417" s="108" t="str">
        <x:f>IF(I417="","Single",IF(LEFT(I417,2)="2x","Double","Single"))</x:f>
        <x:v>Single</x:v>
      </x:c>
      <x:c r="O417" s="109" t="n">
        <x:f>IF(N417="","",IF(N417="Double",Summary!$B$37,Summary!$B$36))</x:f>
        <x:v>5</x:v>
      </x:c>
      <x:c r="P417" s="109" t="str">
        <x:f>IF(K417="","",K417+O417)</x:f>
      </x:c>
      <x:c r="Q417" s="111" t="str">
        <x:f>IF(P417="","",P417*Summary!$B$35)</x:f>
      </x:c>
      <x:c r="R417" s="112" t="n">
        <x:f>IF(N417="","",IF(N417="Double",Summary!$B$39,Summary!$B$38))</x:f>
        <x:v>1.6</x:v>
      </x:c>
      <x:c r="S417" s="113" t="str">
        <x:f>IF(Q417="","",Q417*R417)</x:f>
      </x:c>
    </x:row>
    <x:row r="418">
      <x:c r="A418" s="107"/>
      <x:c r="B418" s="108"/>
      <x:c r="C418" s="108"/>
      <x:c r="D418" s="108"/>
      <x:c r="E418" s="108"/>
      <x:c r="F418" s="108"/>
      <x:c r="G418" s="108"/>
      <x:c r="H418" s="108"/>
      <x:c r="I418" s="108"/>
      <x:c r="J418" s="108"/>
      <x:c r="K418" s="109"/>
      <x:c r="L418" s="110"/>
      <x:c r="M418" s="109" t="str">
        <x:f>IF(OR(K418="",L418=""),"",K418*L418)</x:f>
      </x:c>
      <x:c r="N418" s="108" t="str">
        <x:f>IF(I418="","Single",IF(LEFT(I418,2)="2x","Double","Single"))</x:f>
        <x:v>Single</x:v>
      </x:c>
      <x:c r="O418" s="109" t="n">
        <x:f>IF(N418="","",IF(N418="Double",Summary!$B$37,Summary!$B$36))</x:f>
        <x:v>5</x:v>
      </x:c>
      <x:c r="P418" s="109" t="str">
        <x:f>IF(K418="","",K418+O418)</x:f>
      </x:c>
      <x:c r="Q418" s="111" t="str">
        <x:f>IF(P418="","",P418*Summary!$B$35)</x:f>
      </x:c>
      <x:c r="R418" s="112" t="n">
        <x:f>IF(N418="","",IF(N418="Double",Summary!$B$39,Summary!$B$38))</x:f>
        <x:v>1.6</x:v>
      </x:c>
      <x:c r="S418" s="113" t="str">
        <x:f>IF(Q418="","",Q418*R418)</x:f>
      </x:c>
    </x:row>
    <x:row r="419">
      <x:c r="A419" s="107"/>
      <x:c r="B419" s="108"/>
      <x:c r="C419" s="108"/>
      <x:c r="D419" s="108"/>
      <x:c r="E419" s="108"/>
      <x:c r="F419" s="108"/>
      <x:c r="G419" s="108"/>
      <x:c r="H419" s="108"/>
      <x:c r="I419" s="108"/>
      <x:c r="J419" s="108"/>
      <x:c r="K419" s="109"/>
      <x:c r="L419" s="110"/>
      <x:c r="M419" s="109" t="str">
        <x:f>IF(OR(K419="",L419=""),"",K419*L419)</x:f>
      </x:c>
      <x:c r="N419" s="108" t="str">
        <x:f>IF(I419="","Single",IF(LEFT(I419,2)="2x","Double","Single"))</x:f>
        <x:v>Single</x:v>
      </x:c>
      <x:c r="O419" s="109" t="n">
        <x:f>IF(N419="","",IF(N419="Double",Summary!$B$37,Summary!$B$36))</x:f>
        <x:v>5</x:v>
      </x:c>
      <x:c r="P419" s="109" t="str">
        <x:f>IF(K419="","",K419+O419)</x:f>
      </x:c>
      <x:c r="Q419" s="111" t="str">
        <x:f>IF(P419="","",P419*Summary!$B$35)</x:f>
      </x:c>
      <x:c r="R419" s="112" t="n">
        <x:f>IF(N419="","",IF(N419="Double",Summary!$B$39,Summary!$B$38))</x:f>
        <x:v>1.6</x:v>
      </x:c>
      <x:c r="S419" s="113" t="str">
        <x:f>IF(Q419="","",Q419*R419)</x:f>
      </x:c>
    </x:row>
    <x:row r="420">
      <x:c r="A420" s="107"/>
      <x:c r="B420" s="108"/>
      <x:c r="C420" s="108"/>
      <x:c r="D420" s="108"/>
      <x:c r="E420" s="108"/>
      <x:c r="F420" s="108"/>
      <x:c r="G420" s="108"/>
      <x:c r="H420" s="108"/>
      <x:c r="I420" s="108"/>
      <x:c r="J420" s="108"/>
      <x:c r="K420" s="109"/>
      <x:c r="L420" s="110"/>
      <x:c r="M420" s="109" t="str">
        <x:f>IF(OR(K420="",L420=""),"",K420*L420)</x:f>
      </x:c>
      <x:c r="N420" s="108" t="str">
        <x:f>IF(I420="","Single",IF(LEFT(I420,2)="2x","Double","Single"))</x:f>
        <x:v>Single</x:v>
      </x:c>
      <x:c r="O420" s="109" t="n">
        <x:f>IF(N420="","",IF(N420="Double",Summary!$B$37,Summary!$B$36))</x:f>
        <x:v>5</x:v>
      </x:c>
      <x:c r="P420" s="109" t="str">
        <x:f>IF(K420="","",K420+O420)</x:f>
      </x:c>
      <x:c r="Q420" s="111" t="str">
        <x:f>IF(P420="","",P420*Summary!$B$35)</x:f>
      </x:c>
      <x:c r="R420" s="112" t="n">
        <x:f>IF(N420="","",IF(N420="Double",Summary!$B$39,Summary!$B$38))</x:f>
        <x:v>1.6</x:v>
      </x:c>
      <x:c r="S420" s="113" t="str">
        <x:f>IF(Q420="","",Q420*R420)</x:f>
      </x:c>
    </x:row>
    <x:row r="421">
      <x:c r="A421" s="107"/>
      <x:c r="B421" s="108"/>
      <x:c r="C421" s="108"/>
      <x:c r="D421" s="108"/>
      <x:c r="E421" s="108"/>
      <x:c r="F421" s="108"/>
      <x:c r="G421" s="108"/>
      <x:c r="H421" s="108"/>
      <x:c r="I421" s="108"/>
      <x:c r="J421" s="108"/>
      <x:c r="K421" s="109"/>
      <x:c r="L421" s="110"/>
      <x:c r="M421" s="109" t="str">
        <x:f>IF(OR(K421="",L421=""),"",K421*L421)</x:f>
      </x:c>
      <x:c r="N421" s="108" t="str">
        <x:f>IF(I421="","Single",IF(LEFT(I421,2)="2x","Double","Single"))</x:f>
        <x:v>Single</x:v>
      </x:c>
      <x:c r="O421" s="109" t="n">
        <x:f>IF(N421="","",IF(N421="Double",Summary!$B$37,Summary!$B$36))</x:f>
        <x:v>5</x:v>
      </x:c>
      <x:c r="P421" s="109" t="str">
        <x:f>IF(K421="","",K421+O421)</x:f>
      </x:c>
      <x:c r="Q421" s="111" t="str">
        <x:f>IF(P421="","",P421*Summary!$B$35)</x:f>
      </x:c>
      <x:c r="R421" s="112" t="n">
        <x:f>IF(N421="","",IF(N421="Double",Summary!$B$39,Summary!$B$38))</x:f>
        <x:v>1.6</x:v>
      </x:c>
      <x:c r="S421" s="113" t="str">
        <x:f>IF(Q421="","",Q421*R421)</x:f>
      </x:c>
    </x:row>
    <x:row r="422">
      <x:c r="A422" s="107"/>
      <x:c r="B422" s="108"/>
      <x:c r="C422" s="108"/>
      <x:c r="D422" s="108"/>
      <x:c r="E422" s="108"/>
      <x:c r="F422" s="108"/>
      <x:c r="G422" s="108"/>
      <x:c r="H422" s="108"/>
      <x:c r="I422" s="108"/>
      <x:c r="J422" s="108"/>
      <x:c r="K422" s="109"/>
      <x:c r="L422" s="110"/>
      <x:c r="M422" s="109" t="str">
        <x:f>IF(OR(K422="",L422=""),"",K422*L422)</x:f>
      </x:c>
      <x:c r="N422" s="108" t="str">
        <x:f>IF(I422="","Single",IF(LEFT(I422,2)="2x","Double","Single"))</x:f>
        <x:v>Single</x:v>
      </x:c>
      <x:c r="O422" s="109" t="n">
        <x:f>IF(N422="","",IF(N422="Double",Summary!$B$37,Summary!$B$36))</x:f>
        <x:v>5</x:v>
      </x:c>
      <x:c r="P422" s="109" t="str">
        <x:f>IF(K422="","",K422+O422)</x:f>
      </x:c>
      <x:c r="Q422" s="111" t="str">
        <x:f>IF(P422="","",P422*Summary!$B$35)</x:f>
      </x:c>
      <x:c r="R422" s="112" t="n">
        <x:f>IF(N422="","",IF(N422="Double",Summary!$B$39,Summary!$B$38))</x:f>
        <x:v>1.6</x:v>
      </x:c>
      <x:c r="S422" s="113" t="str">
        <x:f>IF(Q422="","",Q422*R422)</x:f>
      </x:c>
    </x:row>
    <x:row r="423">
      <x:c r="A423" s="107"/>
      <x:c r="B423" s="108"/>
      <x:c r="C423" s="108"/>
      <x:c r="D423" s="108"/>
      <x:c r="E423" s="108"/>
      <x:c r="F423" s="108"/>
      <x:c r="G423" s="108"/>
      <x:c r="H423" s="108"/>
      <x:c r="I423" s="108"/>
      <x:c r="J423" s="108"/>
      <x:c r="K423" s="109"/>
      <x:c r="L423" s="110"/>
      <x:c r="M423" s="109" t="str">
        <x:f>IF(OR(K423="",L423=""),"",K423*L423)</x:f>
      </x:c>
      <x:c r="N423" s="108" t="str">
        <x:f>IF(I423="","Single",IF(LEFT(I423,2)="2x","Double","Single"))</x:f>
        <x:v>Single</x:v>
      </x:c>
      <x:c r="O423" s="109" t="n">
        <x:f>IF(N423="","",IF(N423="Double",Summary!$B$37,Summary!$B$36))</x:f>
        <x:v>5</x:v>
      </x:c>
      <x:c r="P423" s="109" t="str">
        <x:f>IF(K423="","",K423+O423)</x:f>
      </x:c>
      <x:c r="Q423" s="111" t="str">
        <x:f>IF(P423="","",P423*Summary!$B$35)</x:f>
      </x:c>
      <x:c r="R423" s="112" t="n">
        <x:f>IF(N423="","",IF(N423="Double",Summary!$B$39,Summary!$B$38))</x:f>
        <x:v>1.6</x:v>
      </x:c>
      <x:c r="S423" s="113" t="str">
        <x:f>IF(Q423="","",Q423*R423)</x:f>
      </x:c>
    </x:row>
    <x:row r="424">
      <x:c r="A424" s="107"/>
      <x:c r="B424" s="108"/>
      <x:c r="C424" s="108"/>
      <x:c r="D424" s="108"/>
      <x:c r="E424" s="108"/>
      <x:c r="F424" s="108"/>
      <x:c r="G424" s="108"/>
      <x:c r="H424" s="108"/>
      <x:c r="I424" s="108"/>
      <x:c r="J424" s="108"/>
      <x:c r="K424" s="109"/>
      <x:c r="L424" s="110"/>
      <x:c r="M424" s="109" t="str">
        <x:f>IF(OR(K424="",L424=""),"",K424*L424)</x:f>
      </x:c>
      <x:c r="N424" s="108" t="str">
        <x:f>IF(I424="","Single",IF(LEFT(I424,2)="2x","Double","Single"))</x:f>
        <x:v>Single</x:v>
      </x:c>
      <x:c r="O424" s="109" t="n">
        <x:f>IF(N424="","",IF(N424="Double",Summary!$B$37,Summary!$B$36))</x:f>
        <x:v>5</x:v>
      </x:c>
      <x:c r="P424" s="109" t="str">
        <x:f>IF(K424="","",K424+O424)</x:f>
      </x:c>
      <x:c r="Q424" s="111" t="str">
        <x:f>IF(P424="","",P424*Summary!$B$35)</x:f>
      </x:c>
      <x:c r="R424" s="112" t="n">
        <x:f>IF(N424="","",IF(N424="Double",Summary!$B$39,Summary!$B$38))</x:f>
        <x:v>1.6</x:v>
      </x:c>
      <x:c r="S424" s="113" t="str">
        <x:f>IF(Q424="","",Q424*R424)</x:f>
      </x:c>
    </x:row>
    <x:row r="425">
      <x:c r="A425" s="107"/>
      <x:c r="B425" s="108"/>
      <x:c r="C425" s="108"/>
      <x:c r="D425" s="108"/>
      <x:c r="E425" s="108"/>
      <x:c r="F425" s="108"/>
      <x:c r="G425" s="108"/>
      <x:c r="H425" s="108"/>
      <x:c r="I425" s="108"/>
      <x:c r="J425" s="108"/>
      <x:c r="K425" s="109"/>
      <x:c r="L425" s="110"/>
      <x:c r="M425" s="109" t="str">
        <x:f>IF(OR(K425="",L425=""),"",K425*L425)</x:f>
      </x:c>
      <x:c r="N425" s="108" t="str">
        <x:f>IF(I425="","Single",IF(LEFT(I425,2)="2x","Double","Single"))</x:f>
        <x:v>Single</x:v>
      </x:c>
      <x:c r="O425" s="109" t="n">
        <x:f>IF(N425="","",IF(N425="Double",Summary!$B$37,Summary!$B$36))</x:f>
        <x:v>5</x:v>
      </x:c>
      <x:c r="P425" s="109" t="str">
        <x:f>IF(K425="","",K425+O425)</x:f>
      </x:c>
      <x:c r="Q425" s="111" t="str">
        <x:f>IF(P425="","",P425*Summary!$B$35)</x:f>
      </x:c>
      <x:c r="R425" s="112" t="n">
        <x:f>IF(N425="","",IF(N425="Double",Summary!$B$39,Summary!$B$38))</x:f>
        <x:v>1.6</x:v>
      </x:c>
      <x:c r="S425" s="113" t="str">
        <x:f>IF(Q425="","",Q425*R425)</x:f>
      </x:c>
    </x:row>
    <x:row r="426">
      <x:c r="A426" s="107"/>
      <x:c r="B426" s="108"/>
      <x:c r="C426" s="108"/>
      <x:c r="D426" s="108"/>
      <x:c r="E426" s="108"/>
      <x:c r="F426" s="108"/>
      <x:c r="G426" s="108"/>
      <x:c r="H426" s="108"/>
      <x:c r="I426" s="108"/>
      <x:c r="J426" s="108"/>
      <x:c r="K426" s="109"/>
      <x:c r="L426" s="110"/>
      <x:c r="M426" s="109" t="str">
        <x:f>IF(OR(K426="",L426=""),"",K426*L426)</x:f>
      </x:c>
      <x:c r="N426" s="108" t="str">
        <x:f>IF(I426="","Single",IF(LEFT(I426,2)="2x","Double","Single"))</x:f>
        <x:v>Single</x:v>
      </x:c>
      <x:c r="O426" s="109" t="n">
        <x:f>IF(N426="","",IF(N426="Double",Summary!$B$37,Summary!$B$36))</x:f>
        <x:v>5</x:v>
      </x:c>
      <x:c r="P426" s="109" t="str">
        <x:f>IF(K426="","",K426+O426)</x:f>
      </x:c>
      <x:c r="Q426" s="111" t="str">
        <x:f>IF(P426="","",P426*Summary!$B$35)</x:f>
      </x:c>
      <x:c r="R426" s="112" t="n">
        <x:f>IF(N426="","",IF(N426="Double",Summary!$B$39,Summary!$B$38))</x:f>
        <x:v>1.6</x:v>
      </x:c>
      <x:c r="S426" s="113" t="str">
        <x:f>IF(Q426="","",Q426*R426)</x:f>
      </x:c>
    </x:row>
    <x:row r="427">
      <x:c r="A427" s="107"/>
      <x:c r="B427" s="108"/>
      <x:c r="C427" s="108"/>
      <x:c r="D427" s="108"/>
      <x:c r="E427" s="108"/>
      <x:c r="F427" s="108"/>
      <x:c r="G427" s="108"/>
      <x:c r="H427" s="108"/>
      <x:c r="I427" s="108"/>
      <x:c r="J427" s="108"/>
      <x:c r="K427" s="109"/>
      <x:c r="L427" s="110"/>
      <x:c r="M427" s="109" t="str">
        <x:f>IF(OR(K427="",L427=""),"",K427*L427)</x:f>
      </x:c>
      <x:c r="N427" s="108" t="str">
        <x:f>IF(I427="","Single",IF(LEFT(I427,2)="2x","Double","Single"))</x:f>
        <x:v>Single</x:v>
      </x:c>
      <x:c r="O427" s="109" t="n">
        <x:f>IF(N427="","",IF(N427="Double",Summary!$B$37,Summary!$B$36))</x:f>
        <x:v>5</x:v>
      </x:c>
      <x:c r="P427" s="109" t="str">
        <x:f>IF(K427="","",K427+O427)</x:f>
      </x:c>
      <x:c r="Q427" s="111" t="str">
        <x:f>IF(P427="","",P427*Summary!$B$35)</x:f>
      </x:c>
      <x:c r="R427" s="112" t="n">
        <x:f>IF(N427="","",IF(N427="Double",Summary!$B$39,Summary!$B$38))</x:f>
        <x:v>1.6</x:v>
      </x:c>
      <x:c r="S427" s="113" t="str">
        <x:f>IF(Q427="","",Q427*R427)</x:f>
      </x:c>
    </x:row>
    <x:row r="428">
      <x:c r="A428" s="107"/>
      <x:c r="B428" s="108"/>
      <x:c r="C428" s="108"/>
      <x:c r="D428" s="108"/>
      <x:c r="E428" s="108"/>
      <x:c r="F428" s="108"/>
      <x:c r="G428" s="108"/>
      <x:c r="H428" s="108"/>
      <x:c r="I428" s="108"/>
      <x:c r="J428" s="108"/>
      <x:c r="K428" s="109"/>
      <x:c r="L428" s="110"/>
      <x:c r="M428" s="109" t="str">
        <x:f>IF(OR(K428="",L428=""),"",K428*L428)</x:f>
      </x:c>
      <x:c r="N428" s="108" t="str">
        <x:f>IF(I428="","Single",IF(LEFT(I428,2)="2x","Double","Single"))</x:f>
        <x:v>Single</x:v>
      </x:c>
      <x:c r="O428" s="109" t="n">
        <x:f>IF(N428="","",IF(N428="Double",Summary!$B$37,Summary!$B$36))</x:f>
        <x:v>5</x:v>
      </x:c>
      <x:c r="P428" s="109" t="str">
        <x:f>IF(K428="","",K428+O428)</x:f>
      </x:c>
      <x:c r="Q428" s="111" t="str">
        <x:f>IF(P428="","",P428*Summary!$B$35)</x:f>
      </x:c>
      <x:c r="R428" s="112" t="n">
        <x:f>IF(N428="","",IF(N428="Double",Summary!$B$39,Summary!$B$38))</x:f>
        <x:v>1.6</x:v>
      </x:c>
      <x:c r="S428" s="113" t="str">
        <x:f>IF(Q428="","",Q428*R428)</x:f>
      </x:c>
    </x:row>
    <x:row r="429">
      <x:c r="A429" s="107"/>
      <x:c r="B429" s="108"/>
      <x:c r="C429" s="108"/>
      <x:c r="D429" s="108"/>
      <x:c r="E429" s="108"/>
      <x:c r="F429" s="108"/>
      <x:c r="G429" s="108"/>
      <x:c r="H429" s="108"/>
      <x:c r="I429" s="108"/>
      <x:c r="J429" s="108"/>
      <x:c r="K429" s="109"/>
      <x:c r="L429" s="110"/>
      <x:c r="M429" s="109" t="str">
        <x:f>IF(OR(K429="",L429=""),"",K429*L429)</x:f>
      </x:c>
      <x:c r="N429" s="108" t="str">
        <x:f>IF(I429="","Single",IF(LEFT(I429,2)="2x","Double","Single"))</x:f>
        <x:v>Single</x:v>
      </x:c>
      <x:c r="O429" s="109" t="n">
        <x:f>IF(N429="","",IF(N429="Double",Summary!$B$37,Summary!$B$36))</x:f>
        <x:v>5</x:v>
      </x:c>
      <x:c r="P429" s="109" t="str">
        <x:f>IF(K429="","",K429+O429)</x:f>
      </x:c>
      <x:c r="Q429" s="111" t="str">
        <x:f>IF(P429="","",P429*Summary!$B$35)</x:f>
      </x:c>
      <x:c r="R429" s="112" t="n">
        <x:f>IF(N429="","",IF(N429="Double",Summary!$B$39,Summary!$B$38))</x:f>
        <x:v>1.6</x:v>
      </x:c>
      <x:c r="S429" s="113" t="str">
        <x:f>IF(Q429="","",Q429*R429)</x:f>
      </x:c>
    </x:row>
    <x:row r="430">
      <x:c r="A430" s="107"/>
      <x:c r="B430" s="108"/>
      <x:c r="C430" s="108"/>
      <x:c r="D430" s="108"/>
      <x:c r="E430" s="108"/>
      <x:c r="F430" s="108"/>
      <x:c r="G430" s="108"/>
      <x:c r="H430" s="108"/>
      <x:c r="I430" s="108"/>
      <x:c r="J430" s="108"/>
      <x:c r="K430" s="109"/>
      <x:c r="L430" s="110"/>
      <x:c r="M430" s="109" t="str">
        <x:f>IF(OR(K430="",L430=""),"",K430*L430)</x:f>
      </x:c>
      <x:c r="N430" s="108" t="str">
        <x:f>IF(I430="","Single",IF(LEFT(I430,2)="2x","Double","Single"))</x:f>
        <x:v>Single</x:v>
      </x:c>
      <x:c r="O430" s="109" t="n">
        <x:f>IF(N430="","",IF(N430="Double",Summary!$B$37,Summary!$B$36))</x:f>
        <x:v>5</x:v>
      </x:c>
      <x:c r="P430" s="109" t="str">
        <x:f>IF(K430="","",K430+O430)</x:f>
      </x:c>
      <x:c r="Q430" s="111" t="str">
        <x:f>IF(P430="","",P430*Summary!$B$35)</x:f>
      </x:c>
      <x:c r="R430" s="112" t="n">
        <x:f>IF(N430="","",IF(N430="Double",Summary!$B$39,Summary!$B$38))</x:f>
        <x:v>1.6</x:v>
      </x:c>
      <x:c r="S430" s="113" t="str">
        <x:f>IF(Q430="","",Q430*R430)</x:f>
      </x:c>
    </x:row>
    <x:row r="431">
      <x:c r="A431" s="107"/>
      <x:c r="B431" s="108"/>
      <x:c r="C431" s="108"/>
      <x:c r="D431" s="108"/>
      <x:c r="E431" s="108"/>
      <x:c r="F431" s="108"/>
      <x:c r="G431" s="108"/>
      <x:c r="H431" s="108"/>
      <x:c r="I431" s="108"/>
      <x:c r="J431" s="108"/>
      <x:c r="K431" s="109"/>
      <x:c r="L431" s="110"/>
      <x:c r="M431" s="109" t="str">
        <x:f>IF(OR(K431="",L431=""),"",K431*L431)</x:f>
      </x:c>
      <x:c r="N431" s="108" t="str">
        <x:f>IF(I431="","Single",IF(LEFT(I431,2)="2x","Double","Single"))</x:f>
        <x:v>Single</x:v>
      </x:c>
      <x:c r="O431" s="109" t="n">
        <x:f>IF(N431="","",IF(N431="Double",Summary!$B$37,Summary!$B$36))</x:f>
        <x:v>5</x:v>
      </x:c>
      <x:c r="P431" s="109" t="str">
        <x:f>IF(K431="","",K431+O431)</x:f>
      </x:c>
      <x:c r="Q431" s="111" t="str">
        <x:f>IF(P431="","",P431*Summary!$B$35)</x:f>
      </x:c>
      <x:c r="R431" s="112" t="n">
        <x:f>IF(N431="","",IF(N431="Double",Summary!$B$39,Summary!$B$38))</x:f>
        <x:v>1.6</x:v>
      </x:c>
      <x:c r="S431" s="113" t="str">
        <x:f>IF(Q431="","",Q431*R431)</x:f>
      </x:c>
    </x:row>
    <x:row r="432">
      <x:c r="A432" s="107"/>
      <x:c r="B432" s="108"/>
      <x:c r="C432" s="108"/>
      <x:c r="D432" s="108"/>
      <x:c r="E432" s="108"/>
      <x:c r="F432" s="108"/>
      <x:c r="G432" s="108"/>
      <x:c r="H432" s="108"/>
      <x:c r="I432" s="108"/>
      <x:c r="J432" s="108"/>
      <x:c r="K432" s="109"/>
      <x:c r="L432" s="110"/>
      <x:c r="M432" s="109" t="str">
        <x:f>IF(OR(K432="",L432=""),"",K432*L432)</x:f>
      </x:c>
      <x:c r="N432" s="108" t="str">
        <x:f>IF(I432="","Single",IF(LEFT(I432,2)="2x","Double","Single"))</x:f>
        <x:v>Single</x:v>
      </x:c>
      <x:c r="O432" s="109" t="n">
        <x:f>IF(N432="","",IF(N432="Double",Summary!$B$37,Summary!$B$36))</x:f>
        <x:v>5</x:v>
      </x:c>
      <x:c r="P432" s="109" t="str">
        <x:f>IF(K432="","",K432+O432)</x:f>
      </x:c>
      <x:c r="Q432" s="111" t="str">
        <x:f>IF(P432="","",P432*Summary!$B$35)</x:f>
      </x:c>
      <x:c r="R432" s="112" t="n">
        <x:f>IF(N432="","",IF(N432="Double",Summary!$B$39,Summary!$B$38))</x:f>
        <x:v>1.6</x:v>
      </x:c>
      <x:c r="S432" s="113" t="str">
        <x:f>IF(Q432="","",Q432*R432)</x:f>
      </x:c>
    </x:row>
    <x:row r="433">
      <x:c r="A433" s="107"/>
      <x:c r="B433" s="108"/>
      <x:c r="C433" s="108"/>
      <x:c r="D433" s="108"/>
      <x:c r="E433" s="108"/>
      <x:c r="F433" s="108"/>
      <x:c r="G433" s="108"/>
      <x:c r="H433" s="108"/>
      <x:c r="I433" s="108"/>
      <x:c r="J433" s="108"/>
      <x:c r="K433" s="109"/>
      <x:c r="L433" s="110"/>
      <x:c r="M433" s="109" t="str">
        <x:f>IF(OR(K433="",L433=""),"",K433*L433)</x:f>
      </x:c>
      <x:c r="N433" s="108" t="str">
        <x:f>IF(I433="","Single",IF(LEFT(I433,2)="2x","Double","Single"))</x:f>
        <x:v>Single</x:v>
      </x:c>
      <x:c r="O433" s="109" t="n">
        <x:f>IF(N433="","",IF(N433="Double",Summary!$B$37,Summary!$B$36))</x:f>
        <x:v>5</x:v>
      </x:c>
      <x:c r="P433" s="109" t="str">
        <x:f>IF(K433="","",K433+O433)</x:f>
      </x:c>
      <x:c r="Q433" s="111" t="str">
        <x:f>IF(P433="","",P433*Summary!$B$35)</x:f>
      </x:c>
      <x:c r="R433" s="112" t="n">
        <x:f>IF(N433="","",IF(N433="Double",Summary!$B$39,Summary!$B$38))</x:f>
        <x:v>1.6</x:v>
      </x:c>
      <x:c r="S433" s="113" t="str">
        <x:f>IF(Q433="","",Q433*R433)</x:f>
      </x:c>
    </x:row>
    <x:row r="434">
      <x:c r="A434" s="107"/>
      <x:c r="B434" s="108"/>
      <x:c r="C434" s="108"/>
      <x:c r="D434" s="108"/>
      <x:c r="E434" s="108"/>
      <x:c r="F434" s="108"/>
      <x:c r="G434" s="108"/>
      <x:c r="H434" s="108"/>
      <x:c r="I434" s="108"/>
      <x:c r="J434" s="108"/>
      <x:c r="K434" s="109"/>
      <x:c r="L434" s="110"/>
      <x:c r="M434" s="109" t="str">
        <x:f>IF(OR(K434="",L434=""),"",K434*L434)</x:f>
      </x:c>
      <x:c r="N434" s="108" t="str">
        <x:f>IF(I434="","Single",IF(LEFT(I434,2)="2x","Double","Single"))</x:f>
        <x:v>Single</x:v>
      </x:c>
      <x:c r="O434" s="109" t="n">
        <x:f>IF(N434="","",IF(N434="Double",Summary!$B$37,Summary!$B$36))</x:f>
        <x:v>5</x:v>
      </x:c>
      <x:c r="P434" s="109" t="str">
        <x:f>IF(K434="","",K434+O434)</x:f>
      </x:c>
      <x:c r="Q434" s="111" t="str">
        <x:f>IF(P434="","",P434*Summary!$B$35)</x:f>
      </x:c>
      <x:c r="R434" s="112" t="n">
        <x:f>IF(N434="","",IF(N434="Double",Summary!$B$39,Summary!$B$38))</x:f>
        <x:v>1.6</x:v>
      </x:c>
      <x:c r="S434" s="113" t="str">
        <x:f>IF(Q434="","",Q434*R434)</x:f>
      </x:c>
    </x:row>
    <x:row r="435">
      <x:c r="A435" s="107"/>
      <x:c r="B435" s="108"/>
      <x:c r="C435" s="108"/>
      <x:c r="D435" s="108"/>
      <x:c r="E435" s="108"/>
      <x:c r="F435" s="108"/>
      <x:c r="G435" s="108"/>
      <x:c r="H435" s="108"/>
      <x:c r="I435" s="108"/>
      <x:c r="J435" s="108"/>
      <x:c r="K435" s="109"/>
      <x:c r="L435" s="110"/>
      <x:c r="M435" s="109" t="str">
        <x:f>IF(OR(K435="",L435=""),"",K435*L435)</x:f>
      </x:c>
      <x:c r="N435" s="108" t="str">
        <x:f>IF(I435="","Single",IF(LEFT(I435,2)="2x","Double","Single"))</x:f>
        <x:v>Single</x:v>
      </x:c>
      <x:c r="O435" s="109" t="n">
        <x:f>IF(N435="","",IF(N435="Double",Summary!$B$37,Summary!$B$36))</x:f>
        <x:v>5</x:v>
      </x:c>
      <x:c r="P435" s="109" t="str">
        <x:f>IF(K435="","",K435+O435)</x:f>
      </x:c>
      <x:c r="Q435" s="111" t="str">
        <x:f>IF(P435="","",P435*Summary!$B$35)</x:f>
      </x:c>
      <x:c r="R435" s="112" t="n">
        <x:f>IF(N435="","",IF(N435="Double",Summary!$B$39,Summary!$B$38))</x:f>
        <x:v>1.6</x:v>
      </x:c>
      <x:c r="S435" s="113" t="str">
        <x:f>IF(Q435="","",Q435*R435)</x:f>
      </x:c>
    </x:row>
    <x:row r="436">
      <x:c r="A436" s="107"/>
      <x:c r="B436" s="108"/>
      <x:c r="C436" s="108"/>
      <x:c r="D436" s="108"/>
      <x:c r="E436" s="108"/>
      <x:c r="F436" s="108"/>
      <x:c r="G436" s="108"/>
      <x:c r="H436" s="108"/>
      <x:c r="I436" s="108"/>
      <x:c r="J436" s="108"/>
      <x:c r="K436" s="109"/>
      <x:c r="L436" s="110"/>
      <x:c r="M436" s="109" t="str">
        <x:f>IF(OR(K436="",L436=""),"",K436*L436)</x:f>
      </x:c>
      <x:c r="N436" s="108" t="str">
        <x:f>IF(I436="","Single",IF(LEFT(I436,2)="2x","Double","Single"))</x:f>
        <x:v>Single</x:v>
      </x:c>
      <x:c r="O436" s="109" t="n">
        <x:f>IF(N436="","",IF(N436="Double",Summary!$B$37,Summary!$B$36))</x:f>
        <x:v>5</x:v>
      </x:c>
      <x:c r="P436" s="109" t="str">
        <x:f>IF(K436="","",K436+O436)</x:f>
      </x:c>
      <x:c r="Q436" s="111" t="str">
        <x:f>IF(P436="","",P436*Summary!$B$35)</x:f>
      </x:c>
      <x:c r="R436" s="112" t="n">
        <x:f>IF(N436="","",IF(N436="Double",Summary!$B$39,Summary!$B$38))</x:f>
        <x:v>1.6</x:v>
      </x:c>
      <x:c r="S436" s="113" t="str">
        <x:f>IF(Q436="","",Q436*R436)</x:f>
      </x:c>
    </x:row>
    <x:row r="437">
      <x:c r="A437" s="107"/>
      <x:c r="B437" s="108"/>
      <x:c r="C437" s="108"/>
      <x:c r="D437" s="108"/>
      <x:c r="E437" s="108"/>
      <x:c r="F437" s="108"/>
      <x:c r="G437" s="108"/>
      <x:c r="H437" s="108"/>
      <x:c r="I437" s="108"/>
      <x:c r="J437" s="108"/>
      <x:c r="K437" s="109"/>
      <x:c r="L437" s="110"/>
      <x:c r="M437" s="109" t="str">
        <x:f>IF(OR(K437="",L437=""),"",K437*L437)</x:f>
      </x:c>
      <x:c r="N437" s="108" t="str">
        <x:f>IF(I437="","Single",IF(LEFT(I437,2)="2x","Double","Single"))</x:f>
        <x:v>Single</x:v>
      </x:c>
      <x:c r="O437" s="109" t="n">
        <x:f>IF(N437="","",IF(N437="Double",Summary!$B$37,Summary!$B$36))</x:f>
        <x:v>5</x:v>
      </x:c>
      <x:c r="P437" s="109" t="str">
        <x:f>IF(K437="","",K437+O437)</x:f>
      </x:c>
      <x:c r="Q437" s="111" t="str">
        <x:f>IF(P437="","",P437*Summary!$B$35)</x:f>
      </x:c>
      <x:c r="R437" s="112" t="n">
        <x:f>IF(N437="","",IF(N437="Double",Summary!$B$39,Summary!$B$38))</x:f>
        <x:v>1.6</x:v>
      </x:c>
      <x:c r="S437" s="113" t="str">
        <x:f>IF(Q437="","",Q437*R437)</x:f>
      </x:c>
    </x:row>
    <x:row r="438">
      <x:c r="A438" s="107"/>
      <x:c r="B438" s="108"/>
      <x:c r="C438" s="108"/>
      <x:c r="D438" s="108"/>
      <x:c r="E438" s="108"/>
      <x:c r="F438" s="108"/>
      <x:c r="G438" s="108"/>
      <x:c r="H438" s="108"/>
      <x:c r="I438" s="108"/>
      <x:c r="J438" s="108"/>
      <x:c r="K438" s="109"/>
      <x:c r="L438" s="110"/>
      <x:c r="M438" s="109" t="str">
        <x:f>IF(OR(K438="",L438=""),"",K438*L438)</x:f>
      </x:c>
      <x:c r="N438" s="108" t="str">
        <x:f>IF(I438="","Single",IF(LEFT(I438,2)="2x","Double","Single"))</x:f>
        <x:v>Single</x:v>
      </x:c>
      <x:c r="O438" s="109" t="n">
        <x:f>IF(N438="","",IF(N438="Double",Summary!$B$37,Summary!$B$36))</x:f>
        <x:v>5</x:v>
      </x:c>
      <x:c r="P438" s="109" t="str">
        <x:f>IF(K438="","",K438+O438)</x:f>
      </x:c>
      <x:c r="Q438" s="111" t="str">
        <x:f>IF(P438="","",P438*Summary!$B$35)</x:f>
      </x:c>
      <x:c r="R438" s="112" t="n">
        <x:f>IF(N438="","",IF(N438="Double",Summary!$B$39,Summary!$B$38))</x:f>
        <x:v>1.6</x:v>
      </x:c>
      <x:c r="S438" s="113" t="str">
        <x:f>IF(Q438="","",Q438*R438)</x:f>
      </x:c>
    </x:row>
    <x:row r="439">
      <x:c r="A439" s="107"/>
      <x:c r="B439" s="108"/>
      <x:c r="C439" s="108"/>
      <x:c r="D439" s="108"/>
      <x:c r="E439" s="108"/>
      <x:c r="F439" s="108"/>
      <x:c r="G439" s="108"/>
      <x:c r="H439" s="108"/>
      <x:c r="I439" s="108"/>
      <x:c r="J439" s="108"/>
      <x:c r="K439" s="109"/>
      <x:c r="L439" s="110"/>
      <x:c r="M439" s="109" t="str">
        <x:f>IF(OR(K439="",L439=""),"",K439*L439)</x:f>
      </x:c>
      <x:c r="N439" s="108" t="str">
        <x:f>IF(I439="","Single",IF(LEFT(I439,2)="2x","Double","Single"))</x:f>
        <x:v>Single</x:v>
      </x:c>
      <x:c r="O439" s="109" t="n">
        <x:f>IF(N439="","",IF(N439="Double",Summary!$B$37,Summary!$B$36))</x:f>
        <x:v>5</x:v>
      </x:c>
      <x:c r="P439" s="109" t="str">
        <x:f>IF(K439="","",K439+O439)</x:f>
      </x:c>
      <x:c r="Q439" s="111" t="str">
        <x:f>IF(P439="","",P439*Summary!$B$35)</x:f>
      </x:c>
      <x:c r="R439" s="112" t="n">
        <x:f>IF(N439="","",IF(N439="Double",Summary!$B$39,Summary!$B$38))</x:f>
        <x:v>1.6</x:v>
      </x:c>
      <x:c r="S439" s="113" t="str">
        <x:f>IF(Q439="","",Q439*R439)</x:f>
      </x:c>
    </x:row>
    <x:row r="440">
      <x:c r="A440" s="107"/>
      <x:c r="B440" s="108"/>
      <x:c r="C440" s="108"/>
      <x:c r="D440" s="108"/>
      <x:c r="E440" s="108"/>
      <x:c r="F440" s="108"/>
      <x:c r="G440" s="108"/>
      <x:c r="H440" s="108"/>
      <x:c r="I440" s="108"/>
      <x:c r="J440" s="108"/>
      <x:c r="K440" s="109"/>
      <x:c r="L440" s="110"/>
      <x:c r="M440" s="109" t="str">
        <x:f>IF(OR(K440="",L440=""),"",K440*L440)</x:f>
      </x:c>
      <x:c r="N440" s="108" t="str">
        <x:f>IF(I440="","Single",IF(LEFT(I440,2)="2x","Double","Single"))</x:f>
        <x:v>Single</x:v>
      </x:c>
      <x:c r="O440" s="109" t="n">
        <x:f>IF(N440="","",IF(N440="Double",Summary!$B$37,Summary!$B$36))</x:f>
        <x:v>5</x:v>
      </x:c>
      <x:c r="P440" s="109" t="str">
        <x:f>IF(K440="","",K440+O440)</x:f>
      </x:c>
      <x:c r="Q440" s="111" t="str">
        <x:f>IF(P440="","",P440*Summary!$B$35)</x:f>
      </x:c>
      <x:c r="R440" s="112" t="n">
        <x:f>IF(N440="","",IF(N440="Double",Summary!$B$39,Summary!$B$38))</x:f>
        <x:v>1.6</x:v>
      </x:c>
      <x:c r="S440" s="113" t="str">
        <x:f>IF(Q440="","",Q440*R440)</x:f>
      </x:c>
    </x:row>
    <x:row r="441">
      <x:c r="A441" s="107"/>
      <x:c r="B441" s="108"/>
      <x:c r="C441" s="108"/>
      <x:c r="D441" s="108"/>
      <x:c r="E441" s="108"/>
      <x:c r="F441" s="108"/>
      <x:c r="G441" s="108"/>
      <x:c r="H441" s="108"/>
      <x:c r="I441" s="108"/>
      <x:c r="J441" s="108"/>
      <x:c r="K441" s="109"/>
      <x:c r="L441" s="110"/>
      <x:c r="M441" s="109" t="str">
        <x:f>IF(OR(K441="",L441=""),"",K441*L441)</x:f>
      </x:c>
      <x:c r="N441" s="108" t="str">
        <x:f>IF(I441="","Single",IF(LEFT(I441,2)="2x","Double","Single"))</x:f>
        <x:v>Single</x:v>
      </x:c>
      <x:c r="O441" s="109" t="n">
        <x:f>IF(N441="","",IF(N441="Double",Summary!$B$37,Summary!$B$36))</x:f>
        <x:v>5</x:v>
      </x:c>
      <x:c r="P441" s="109" t="str">
        <x:f>IF(K441="","",K441+O441)</x:f>
      </x:c>
      <x:c r="Q441" s="111" t="str">
        <x:f>IF(P441="","",P441*Summary!$B$35)</x:f>
      </x:c>
      <x:c r="R441" s="112" t="n">
        <x:f>IF(N441="","",IF(N441="Double",Summary!$B$39,Summary!$B$38))</x:f>
        <x:v>1.6</x:v>
      </x:c>
      <x:c r="S441" s="113" t="str">
        <x:f>IF(Q441="","",Q441*R441)</x:f>
      </x:c>
    </x:row>
    <x:row r="442">
      <x:c r="A442" s="107"/>
      <x:c r="B442" s="108"/>
      <x:c r="C442" s="108"/>
      <x:c r="D442" s="108"/>
      <x:c r="E442" s="108"/>
      <x:c r="F442" s="108"/>
      <x:c r="G442" s="108"/>
      <x:c r="H442" s="108"/>
      <x:c r="I442" s="108"/>
      <x:c r="J442" s="108"/>
      <x:c r="K442" s="109"/>
      <x:c r="L442" s="110"/>
      <x:c r="M442" s="109" t="str">
        <x:f>IF(OR(K442="",L442=""),"",K442*L442)</x:f>
      </x:c>
      <x:c r="N442" s="108" t="str">
        <x:f>IF(I442="","Single",IF(LEFT(I442,2)="2x","Double","Single"))</x:f>
        <x:v>Single</x:v>
      </x:c>
      <x:c r="O442" s="109" t="n">
        <x:f>IF(N442="","",IF(N442="Double",Summary!$B$37,Summary!$B$36))</x:f>
        <x:v>5</x:v>
      </x:c>
      <x:c r="P442" s="109" t="str">
        <x:f>IF(K442="","",K442+O442)</x:f>
      </x:c>
      <x:c r="Q442" s="111" t="str">
        <x:f>IF(P442="","",P442*Summary!$B$35)</x:f>
      </x:c>
      <x:c r="R442" s="112" t="n">
        <x:f>IF(N442="","",IF(N442="Double",Summary!$B$39,Summary!$B$38))</x:f>
        <x:v>1.6</x:v>
      </x:c>
      <x:c r="S442" s="113" t="str">
        <x:f>IF(Q442="","",Q442*R442)</x:f>
      </x:c>
    </x:row>
    <x:row r="443">
      <x:c r="A443" s="107"/>
      <x:c r="B443" s="108"/>
      <x:c r="C443" s="108"/>
      <x:c r="D443" s="108"/>
      <x:c r="E443" s="108"/>
      <x:c r="F443" s="108"/>
      <x:c r="G443" s="108"/>
      <x:c r="H443" s="108"/>
      <x:c r="I443" s="108"/>
      <x:c r="J443" s="108"/>
      <x:c r="K443" s="109"/>
      <x:c r="L443" s="110"/>
      <x:c r="M443" s="109" t="str">
        <x:f>IF(OR(K443="",L443=""),"",K443*L443)</x:f>
      </x:c>
      <x:c r="N443" s="108" t="str">
        <x:f>IF(I443="","Single",IF(LEFT(I443,2)="2x","Double","Single"))</x:f>
        <x:v>Single</x:v>
      </x:c>
      <x:c r="O443" s="109" t="n">
        <x:f>IF(N443="","",IF(N443="Double",Summary!$B$37,Summary!$B$36))</x:f>
        <x:v>5</x:v>
      </x:c>
      <x:c r="P443" s="109" t="str">
        <x:f>IF(K443="","",K443+O443)</x:f>
      </x:c>
      <x:c r="Q443" s="111" t="str">
        <x:f>IF(P443="","",P443*Summary!$B$35)</x:f>
      </x:c>
      <x:c r="R443" s="112" t="n">
        <x:f>IF(N443="","",IF(N443="Double",Summary!$B$39,Summary!$B$38))</x:f>
        <x:v>1.6</x:v>
      </x:c>
      <x:c r="S443" s="113" t="str">
        <x:f>IF(Q443="","",Q443*R443)</x:f>
      </x:c>
    </x:row>
    <x:row r="444">
      <x:c r="A444" s="107"/>
      <x:c r="B444" s="108"/>
      <x:c r="C444" s="108"/>
      <x:c r="D444" s="108"/>
      <x:c r="E444" s="108"/>
      <x:c r="F444" s="108"/>
      <x:c r="G444" s="108"/>
      <x:c r="H444" s="108"/>
      <x:c r="I444" s="108"/>
      <x:c r="J444" s="108"/>
      <x:c r="K444" s="109"/>
      <x:c r="L444" s="110"/>
      <x:c r="M444" s="109" t="str">
        <x:f>IF(OR(K444="",L444=""),"",K444*L444)</x:f>
      </x:c>
      <x:c r="N444" s="108" t="str">
        <x:f>IF(I444="","Single",IF(LEFT(I444,2)="2x","Double","Single"))</x:f>
        <x:v>Single</x:v>
      </x:c>
      <x:c r="O444" s="109" t="n">
        <x:f>IF(N444="","",IF(N444="Double",Summary!$B$37,Summary!$B$36))</x:f>
        <x:v>5</x:v>
      </x:c>
      <x:c r="P444" s="109" t="str">
        <x:f>IF(K444="","",K444+O444)</x:f>
      </x:c>
      <x:c r="Q444" s="111" t="str">
        <x:f>IF(P444="","",P444*Summary!$B$35)</x:f>
      </x:c>
      <x:c r="R444" s="112" t="n">
        <x:f>IF(N444="","",IF(N444="Double",Summary!$B$39,Summary!$B$38))</x:f>
        <x:v>1.6</x:v>
      </x:c>
      <x:c r="S444" s="113" t="str">
        <x:f>IF(Q444="","",Q444*R444)</x:f>
      </x:c>
    </x:row>
    <x:row r="445">
      <x:c r="A445" s="107"/>
      <x:c r="B445" s="108"/>
      <x:c r="C445" s="108"/>
      <x:c r="D445" s="108"/>
      <x:c r="E445" s="108"/>
      <x:c r="F445" s="108"/>
      <x:c r="G445" s="108"/>
      <x:c r="H445" s="108"/>
      <x:c r="I445" s="108"/>
      <x:c r="J445" s="108"/>
      <x:c r="K445" s="109"/>
      <x:c r="L445" s="110"/>
      <x:c r="M445" s="109" t="str">
        <x:f>IF(OR(K445="",L445=""),"",K445*L445)</x:f>
      </x:c>
      <x:c r="N445" s="108" t="str">
        <x:f>IF(I445="","Single",IF(LEFT(I445,2)="2x","Double","Single"))</x:f>
        <x:v>Single</x:v>
      </x:c>
      <x:c r="O445" s="109" t="n">
        <x:f>IF(N445="","",IF(N445="Double",Summary!$B$37,Summary!$B$36))</x:f>
        <x:v>5</x:v>
      </x:c>
      <x:c r="P445" s="109" t="str">
        <x:f>IF(K445="","",K445+O445)</x:f>
      </x:c>
      <x:c r="Q445" s="111" t="str">
        <x:f>IF(P445="","",P445*Summary!$B$35)</x:f>
      </x:c>
      <x:c r="R445" s="112" t="n">
        <x:f>IF(N445="","",IF(N445="Double",Summary!$B$39,Summary!$B$38))</x:f>
        <x:v>1.6</x:v>
      </x:c>
      <x:c r="S445" s="113" t="str">
        <x:f>IF(Q445="","",Q445*R445)</x:f>
      </x:c>
    </x:row>
    <x:row r="446">
      <x:c r="A446" s="107"/>
      <x:c r="B446" s="108"/>
      <x:c r="C446" s="108"/>
      <x:c r="D446" s="108"/>
      <x:c r="E446" s="108"/>
      <x:c r="F446" s="108"/>
      <x:c r="G446" s="108"/>
      <x:c r="H446" s="108"/>
      <x:c r="I446" s="108"/>
      <x:c r="J446" s="108"/>
      <x:c r="K446" s="109"/>
      <x:c r="L446" s="110"/>
      <x:c r="M446" s="109" t="str">
        <x:f>IF(OR(K446="",L446=""),"",K446*L446)</x:f>
      </x:c>
      <x:c r="N446" s="108" t="str">
        <x:f>IF(I446="","Single",IF(LEFT(I446,2)="2x","Double","Single"))</x:f>
        <x:v>Single</x:v>
      </x:c>
      <x:c r="O446" s="109" t="n">
        <x:f>IF(N446="","",IF(N446="Double",Summary!$B$37,Summary!$B$36))</x:f>
        <x:v>5</x:v>
      </x:c>
      <x:c r="P446" s="109" t="str">
        <x:f>IF(K446="","",K446+O446)</x:f>
      </x:c>
      <x:c r="Q446" s="111" t="str">
        <x:f>IF(P446="","",P446*Summary!$B$35)</x:f>
      </x:c>
      <x:c r="R446" s="112" t="n">
        <x:f>IF(N446="","",IF(N446="Double",Summary!$B$39,Summary!$B$38))</x:f>
        <x:v>1.6</x:v>
      </x:c>
      <x:c r="S446" s="113" t="str">
        <x:f>IF(Q446="","",Q446*R446)</x:f>
      </x:c>
    </x:row>
    <x:row r="447">
      <x:c r="A447" s="107"/>
      <x:c r="B447" s="108"/>
      <x:c r="C447" s="108"/>
      <x:c r="D447" s="108"/>
      <x:c r="E447" s="108"/>
      <x:c r="F447" s="108"/>
      <x:c r="G447" s="108"/>
      <x:c r="H447" s="108"/>
      <x:c r="I447" s="108"/>
      <x:c r="J447" s="108"/>
      <x:c r="K447" s="109"/>
      <x:c r="L447" s="110"/>
      <x:c r="M447" s="109" t="str">
        <x:f>IF(OR(K447="",L447=""),"",K447*L447)</x:f>
      </x:c>
      <x:c r="N447" s="108" t="str">
        <x:f>IF(I447="","Single",IF(LEFT(I447,2)="2x","Double","Single"))</x:f>
        <x:v>Single</x:v>
      </x:c>
      <x:c r="O447" s="109" t="n">
        <x:f>IF(N447="","",IF(N447="Double",Summary!$B$37,Summary!$B$36))</x:f>
        <x:v>5</x:v>
      </x:c>
      <x:c r="P447" s="109" t="str">
        <x:f>IF(K447="","",K447+O447)</x:f>
      </x:c>
      <x:c r="Q447" s="111" t="str">
        <x:f>IF(P447="","",P447*Summary!$B$35)</x:f>
      </x:c>
      <x:c r="R447" s="112" t="n">
        <x:f>IF(N447="","",IF(N447="Double",Summary!$B$39,Summary!$B$38))</x:f>
        <x:v>1.6</x:v>
      </x:c>
      <x:c r="S447" s="113" t="str">
        <x:f>IF(Q447="","",Q447*R447)</x:f>
      </x:c>
    </x:row>
    <x:row r="448">
      <x:c r="A448" s="107"/>
      <x:c r="B448" s="108"/>
      <x:c r="C448" s="108"/>
      <x:c r="D448" s="108"/>
      <x:c r="E448" s="108"/>
      <x:c r="F448" s="108"/>
      <x:c r="G448" s="108"/>
      <x:c r="H448" s="108"/>
      <x:c r="I448" s="108"/>
      <x:c r="J448" s="108"/>
      <x:c r="K448" s="109"/>
      <x:c r="L448" s="110"/>
      <x:c r="M448" s="109" t="str">
        <x:f>IF(OR(K448="",L448=""),"",K448*L448)</x:f>
      </x:c>
      <x:c r="N448" s="108" t="str">
        <x:f>IF(I448="","Single",IF(LEFT(I448,2)="2x","Double","Single"))</x:f>
        <x:v>Single</x:v>
      </x:c>
      <x:c r="O448" s="109" t="n">
        <x:f>IF(N448="","",IF(N448="Double",Summary!$B$37,Summary!$B$36))</x:f>
        <x:v>5</x:v>
      </x:c>
      <x:c r="P448" s="109" t="str">
        <x:f>IF(K448="","",K448+O448)</x:f>
      </x:c>
      <x:c r="Q448" s="111" t="str">
        <x:f>IF(P448="","",P448*Summary!$B$35)</x:f>
      </x:c>
      <x:c r="R448" s="112" t="n">
        <x:f>IF(N448="","",IF(N448="Double",Summary!$B$39,Summary!$B$38))</x:f>
        <x:v>1.6</x:v>
      </x:c>
      <x:c r="S448" s="113" t="str">
        <x:f>IF(Q448="","",Q448*R448)</x:f>
      </x:c>
    </x:row>
    <x:row r="449">
      <x:c r="A449" s="107"/>
      <x:c r="B449" s="108"/>
      <x:c r="C449" s="108"/>
      <x:c r="D449" s="108"/>
      <x:c r="E449" s="108"/>
      <x:c r="F449" s="108"/>
      <x:c r="G449" s="108"/>
      <x:c r="H449" s="108"/>
      <x:c r="I449" s="108"/>
      <x:c r="J449" s="108"/>
      <x:c r="K449" s="109"/>
      <x:c r="L449" s="110"/>
      <x:c r="M449" s="109" t="str">
        <x:f>IF(OR(K449="",L449=""),"",K449*L449)</x:f>
      </x:c>
      <x:c r="N449" s="108" t="str">
        <x:f>IF(I449="","Single",IF(LEFT(I449,2)="2x","Double","Single"))</x:f>
        <x:v>Single</x:v>
      </x:c>
      <x:c r="O449" s="109" t="n">
        <x:f>IF(N449="","",IF(N449="Double",Summary!$B$37,Summary!$B$36))</x:f>
        <x:v>5</x:v>
      </x:c>
      <x:c r="P449" s="109" t="str">
        <x:f>IF(K449="","",K449+O449)</x:f>
      </x:c>
      <x:c r="Q449" s="111" t="str">
        <x:f>IF(P449="","",P449*Summary!$B$35)</x:f>
      </x:c>
      <x:c r="R449" s="112" t="n">
        <x:f>IF(N449="","",IF(N449="Double",Summary!$B$39,Summary!$B$38))</x:f>
        <x:v>1.6</x:v>
      </x:c>
      <x:c r="S449" s="113" t="str">
        <x:f>IF(Q449="","",Q449*R449)</x:f>
      </x:c>
    </x:row>
    <x:row r="450">
      <x:c r="A450" s="107"/>
      <x:c r="B450" s="108"/>
      <x:c r="C450" s="108"/>
      <x:c r="D450" s="108"/>
      <x:c r="E450" s="108"/>
      <x:c r="F450" s="108"/>
      <x:c r="G450" s="108"/>
      <x:c r="H450" s="108"/>
      <x:c r="I450" s="108"/>
      <x:c r="J450" s="108"/>
      <x:c r="K450" s="109"/>
      <x:c r="L450" s="110"/>
      <x:c r="M450" s="109" t="str">
        <x:f>IF(OR(K450="",L450=""),"",K450*L450)</x:f>
      </x:c>
      <x:c r="N450" s="108" t="str">
        <x:f>IF(I450="","Single",IF(LEFT(I450,2)="2x","Double","Single"))</x:f>
        <x:v>Single</x:v>
      </x:c>
      <x:c r="O450" s="109" t="n">
        <x:f>IF(N450="","",IF(N450="Double",Summary!$B$37,Summary!$B$36))</x:f>
        <x:v>5</x:v>
      </x:c>
      <x:c r="P450" s="109" t="str">
        <x:f>IF(K450="","",K450+O450)</x:f>
      </x:c>
      <x:c r="Q450" s="111" t="str">
        <x:f>IF(P450="","",P450*Summary!$B$35)</x:f>
      </x:c>
      <x:c r="R450" s="112" t="n">
        <x:f>IF(N450="","",IF(N450="Double",Summary!$B$39,Summary!$B$38))</x:f>
        <x:v>1.6</x:v>
      </x:c>
      <x:c r="S450" s="113" t="str">
        <x:f>IF(Q450="","",Q450*R450)</x:f>
      </x:c>
    </x:row>
    <x:row r="451">
      <x:c r="A451" s="107"/>
      <x:c r="B451" s="108"/>
      <x:c r="C451" s="108"/>
      <x:c r="D451" s="108"/>
      <x:c r="E451" s="108"/>
      <x:c r="F451" s="108"/>
      <x:c r="G451" s="108"/>
      <x:c r="H451" s="108"/>
      <x:c r="I451" s="108"/>
      <x:c r="J451" s="108"/>
      <x:c r="K451" s="109"/>
      <x:c r="L451" s="110"/>
      <x:c r="M451" s="109" t="str">
        <x:f>IF(OR(K451="",L451=""),"",K451*L451)</x:f>
      </x:c>
      <x:c r="N451" s="108" t="str">
        <x:f>IF(I451="","Single",IF(LEFT(I451,2)="2x","Double","Single"))</x:f>
        <x:v>Single</x:v>
      </x:c>
      <x:c r="O451" s="109" t="n">
        <x:f>IF(N451="","",IF(N451="Double",Summary!$B$37,Summary!$B$36))</x:f>
        <x:v>5</x:v>
      </x:c>
      <x:c r="P451" s="109" t="str">
        <x:f>IF(K451="","",K451+O451)</x:f>
      </x:c>
      <x:c r="Q451" s="111" t="str">
        <x:f>IF(P451="","",P451*Summary!$B$35)</x:f>
      </x:c>
      <x:c r="R451" s="112" t="n">
        <x:f>IF(N451="","",IF(N451="Double",Summary!$B$39,Summary!$B$38))</x:f>
        <x:v>1.6</x:v>
      </x:c>
      <x:c r="S451" s="113" t="str">
        <x:f>IF(Q451="","",Q451*R451)</x:f>
      </x:c>
    </x:row>
    <x:row r="452">
      <x:c r="A452" s="107"/>
      <x:c r="B452" s="108"/>
      <x:c r="C452" s="108"/>
      <x:c r="D452" s="108"/>
      <x:c r="E452" s="108"/>
      <x:c r="F452" s="108"/>
      <x:c r="G452" s="108"/>
      <x:c r="H452" s="108"/>
      <x:c r="I452" s="108"/>
      <x:c r="J452" s="108"/>
      <x:c r="K452" s="109"/>
      <x:c r="L452" s="110"/>
      <x:c r="M452" s="109" t="str">
        <x:f>IF(OR(K452="",L452=""),"",K452*L452)</x:f>
      </x:c>
      <x:c r="N452" s="108" t="str">
        <x:f>IF(I452="","Single",IF(LEFT(I452,2)="2x","Double","Single"))</x:f>
        <x:v>Single</x:v>
      </x:c>
      <x:c r="O452" s="109" t="n">
        <x:f>IF(N452="","",IF(N452="Double",Summary!$B$37,Summary!$B$36))</x:f>
        <x:v>5</x:v>
      </x:c>
      <x:c r="P452" s="109" t="str">
        <x:f>IF(K452="","",K452+O452)</x:f>
      </x:c>
      <x:c r="Q452" s="111" t="str">
        <x:f>IF(P452="","",P452*Summary!$B$35)</x:f>
      </x:c>
      <x:c r="R452" s="112" t="n">
        <x:f>IF(N452="","",IF(N452="Double",Summary!$B$39,Summary!$B$38))</x:f>
        <x:v>1.6</x:v>
      </x:c>
      <x:c r="S452" s="113" t="str">
        <x:f>IF(Q452="","",Q452*R452)</x:f>
      </x:c>
    </x:row>
    <x:row r="453">
      <x:c r="A453" s="107"/>
      <x:c r="B453" s="108"/>
      <x:c r="C453" s="108"/>
      <x:c r="D453" s="108"/>
      <x:c r="E453" s="108"/>
      <x:c r="F453" s="108"/>
      <x:c r="G453" s="108"/>
      <x:c r="H453" s="108"/>
      <x:c r="I453" s="108"/>
      <x:c r="J453" s="108"/>
      <x:c r="K453" s="109"/>
      <x:c r="L453" s="110"/>
      <x:c r="M453" s="109" t="str">
        <x:f>IF(OR(K453="",L453=""),"",K453*L453)</x:f>
      </x:c>
      <x:c r="N453" s="108" t="str">
        <x:f>IF(I453="","Single",IF(LEFT(I453,2)="2x","Double","Single"))</x:f>
        <x:v>Single</x:v>
      </x:c>
      <x:c r="O453" s="109" t="n">
        <x:f>IF(N453="","",IF(N453="Double",Summary!$B$37,Summary!$B$36))</x:f>
        <x:v>5</x:v>
      </x:c>
      <x:c r="P453" s="109" t="str">
        <x:f>IF(K453="","",K453+O453)</x:f>
      </x:c>
      <x:c r="Q453" s="111" t="str">
        <x:f>IF(P453="","",P453*Summary!$B$35)</x:f>
      </x:c>
      <x:c r="R453" s="112" t="n">
        <x:f>IF(N453="","",IF(N453="Double",Summary!$B$39,Summary!$B$38))</x:f>
        <x:v>1.6</x:v>
      </x:c>
      <x:c r="S453" s="113" t="str">
        <x:f>IF(Q453="","",Q453*R453)</x:f>
      </x:c>
    </x:row>
    <x:row r="454">
      <x:c r="A454" s="107"/>
      <x:c r="B454" s="108"/>
      <x:c r="C454" s="108"/>
      <x:c r="D454" s="108"/>
      <x:c r="E454" s="108"/>
      <x:c r="F454" s="108"/>
      <x:c r="G454" s="108"/>
      <x:c r="H454" s="108"/>
      <x:c r="I454" s="108"/>
      <x:c r="J454" s="108"/>
      <x:c r="K454" s="109"/>
      <x:c r="L454" s="110"/>
      <x:c r="M454" s="109" t="str">
        <x:f>IF(OR(K454="",L454=""),"",K454*L454)</x:f>
      </x:c>
      <x:c r="N454" s="108" t="str">
        <x:f>IF(I454="","Single",IF(LEFT(I454,2)="2x","Double","Single"))</x:f>
        <x:v>Single</x:v>
      </x:c>
      <x:c r="O454" s="109" t="n">
        <x:f>IF(N454="","",IF(N454="Double",Summary!$B$37,Summary!$B$36))</x:f>
        <x:v>5</x:v>
      </x:c>
      <x:c r="P454" s="109" t="str">
        <x:f>IF(K454="","",K454+O454)</x:f>
      </x:c>
      <x:c r="Q454" s="111" t="str">
        <x:f>IF(P454="","",P454*Summary!$B$35)</x:f>
      </x:c>
      <x:c r="R454" s="112" t="n">
        <x:f>IF(N454="","",IF(N454="Double",Summary!$B$39,Summary!$B$38))</x:f>
        <x:v>1.6</x:v>
      </x:c>
      <x:c r="S454" s="113" t="str">
        <x:f>IF(Q454="","",Q454*R454)</x:f>
      </x:c>
    </x:row>
    <x:row r="455">
      <x:c r="A455" s="107"/>
      <x:c r="B455" s="108"/>
      <x:c r="C455" s="108"/>
      <x:c r="D455" s="108"/>
      <x:c r="E455" s="108"/>
      <x:c r="F455" s="108"/>
      <x:c r="G455" s="108"/>
      <x:c r="H455" s="108"/>
      <x:c r="I455" s="108"/>
      <x:c r="J455" s="108"/>
      <x:c r="K455" s="109"/>
      <x:c r="L455" s="110"/>
      <x:c r="M455" s="109" t="str">
        <x:f>IF(OR(K455="",L455=""),"",K455*L455)</x:f>
      </x:c>
      <x:c r="N455" s="108" t="str">
        <x:f>IF(I455="","Single",IF(LEFT(I455,2)="2x","Double","Single"))</x:f>
        <x:v>Single</x:v>
      </x:c>
      <x:c r="O455" s="109" t="n">
        <x:f>IF(N455="","",IF(N455="Double",Summary!$B$37,Summary!$B$36))</x:f>
        <x:v>5</x:v>
      </x:c>
      <x:c r="P455" s="109" t="str">
        <x:f>IF(K455="","",K455+O455)</x:f>
      </x:c>
      <x:c r="Q455" s="111" t="str">
        <x:f>IF(P455="","",P455*Summary!$B$35)</x:f>
      </x:c>
      <x:c r="R455" s="112" t="n">
        <x:f>IF(N455="","",IF(N455="Double",Summary!$B$39,Summary!$B$38))</x:f>
        <x:v>1.6</x:v>
      </x:c>
      <x:c r="S455" s="113" t="str">
        <x:f>IF(Q455="","",Q455*R455)</x:f>
      </x:c>
    </x:row>
    <x:row r="456">
      <x:c r="A456" s="107"/>
      <x:c r="B456" s="108"/>
      <x:c r="C456" s="108"/>
      <x:c r="D456" s="108"/>
      <x:c r="E456" s="108"/>
      <x:c r="F456" s="108"/>
      <x:c r="G456" s="108"/>
      <x:c r="H456" s="108"/>
      <x:c r="I456" s="108"/>
      <x:c r="J456" s="108"/>
      <x:c r="K456" s="109"/>
      <x:c r="L456" s="110"/>
      <x:c r="M456" s="109" t="str">
        <x:f>IF(OR(K456="",L456=""),"",K456*L456)</x:f>
      </x:c>
      <x:c r="N456" s="108" t="str">
        <x:f>IF(I456="","Single",IF(LEFT(I456,2)="2x","Double","Single"))</x:f>
        <x:v>Single</x:v>
      </x:c>
      <x:c r="O456" s="109" t="n">
        <x:f>IF(N456="","",IF(N456="Double",Summary!$B$37,Summary!$B$36))</x:f>
        <x:v>5</x:v>
      </x:c>
      <x:c r="P456" s="109" t="str">
        <x:f>IF(K456="","",K456+O456)</x:f>
      </x:c>
      <x:c r="Q456" s="111" t="str">
        <x:f>IF(P456="","",P456*Summary!$B$35)</x:f>
      </x:c>
      <x:c r="R456" s="112" t="n">
        <x:f>IF(N456="","",IF(N456="Double",Summary!$B$39,Summary!$B$38))</x:f>
        <x:v>1.6</x:v>
      </x:c>
      <x:c r="S456" s="113" t="str">
        <x:f>IF(Q456="","",Q456*R456)</x:f>
      </x:c>
    </x:row>
    <x:row r="457">
      <x:c r="A457" s="107"/>
      <x:c r="B457" s="108"/>
      <x:c r="C457" s="108"/>
      <x:c r="D457" s="108"/>
      <x:c r="E457" s="108"/>
      <x:c r="F457" s="108"/>
      <x:c r="G457" s="108"/>
      <x:c r="H457" s="108"/>
      <x:c r="I457" s="108"/>
      <x:c r="J457" s="108"/>
      <x:c r="K457" s="109"/>
      <x:c r="L457" s="110"/>
      <x:c r="M457" s="109" t="str">
        <x:f>IF(OR(K457="",L457=""),"",K457*L457)</x:f>
      </x:c>
      <x:c r="N457" s="108" t="str">
        <x:f>IF(I457="","Single",IF(LEFT(I457,2)="2x","Double","Single"))</x:f>
        <x:v>Single</x:v>
      </x:c>
      <x:c r="O457" s="109" t="n">
        <x:f>IF(N457="","",IF(N457="Double",Summary!$B$37,Summary!$B$36))</x:f>
        <x:v>5</x:v>
      </x:c>
      <x:c r="P457" s="109" t="str">
        <x:f>IF(K457="","",K457+O457)</x:f>
      </x:c>
      <x:c r="Q457" s="111" t="str">
        <x:f>IF(P457="","",P457*Summary!$B$35)</x:f>
      </x:c>
      <x:c r="R457" s="112" t="n">
        <x:f>IF(N457="","",IF(N457="Double",Summary!$B$39,Summary!$B$38))</x:f>
        <x:v>1.6</x:v>
      </x:c>
      <x:c r="S457" s="113" t="str">
        <x:f>IF(Q457="","",Q457*R457)</x:f>
      </x:c>
    </x:row>
    <x:row r="458">
      <x:c r="A458" s="107"/>
      <x:c r="B458" s="108"/>
      <x:c r="C458" s="108"/>
      <x:c r="D458" s="108"/>
      <x:c r="E458" s="108"/>
      <x:c r="F458" s="108"/>
      <x:c r="G458" s="108"/>
      <x:c r="H458" s="108"/>
      <x:c r="I458" s="108"/>
      <x:c r="J458" s="108"/>
      <x:c r="K458" s="109"/>
      <x:c r="L458" s="110"/>
      <x:c r="M458" s="109" t="str">
        <x:f>IF(OR(K458="",L458=""),"",K458*L458)</x:f>
      </x:c>
      <x:c r="N458" s="108" t="str">
        <x:f>IF(I458="","Single",IF(LEFT(I458,2)="2x","Double","Single"))</x:f>
        <x:v>Single</x:v>
      </x:c>
      <x:c r="O458" s="109" t="n">
        <x:f>IF(N458="","",IF(N458="Double",Summary!$B$37,Summary!$B$36))</x:f>
        <x:v>5</x:v>
      </x:c>
      <x:c r="P458" s="109" t="str">
        <x:f>IF(K458="","",K458+O458)</x:f>
      </x:c>
      <x:c r="Q458" s="111" t="str">
        <x:f>IF(P458="","",P458*Summary!$B$35)</x:f>
      </x:c>
      <x:c r="R458" s="112" t="n">
        <x:f>IF(N458="","",IF(N458="Double",Summary!$B$39,Summary!$B$38))</x:f>
        <x:v>1.6</x:v>
      </x:c>
      <x:c r="S458" s="113" t="str">
        <x:f>IF(Q458="","",Q458*R458)</x:f>
      </x:c>
    </x:row>
    <x:row r="459">
      <x:c r="A459" s="107"/>
      <x:c r="B459" s="108"/>
      <x:c r="C459" s="108"/>
      <x:c r="D459" s="108"/>
      <x:c r="E459" s="108"/>
      <x:c r="F459" s="108"/>
      <x:c r="G459" s="108"/>
      <x:c r="H459" s="108"/>
      <x:c r="I459" s="108"/>
      <x:c r="J459" s="108"/>
      <x:c r="K459" s="109"/>
      <x:c r="L459" s="110"/>
      <x:c r="M459" s="109" t="str">
        <x:f>IF(OR(K459="",L459=""),"",K459*L459)</x:f>
      </x:c>
      <x:c r="N459" s="108" t="str">
        <x:f>IF(I459="","Single",IF(LEFT(I459,2)="2x","Double","Single"))</x:f>
        <x:v>Single</x:v>
      </x:c>
      <x:c r="O459" s="109" t="n">
        <x:f>IF(N459="","",IF(N459="Double",Summary!$B$37,Summary!$B$36))</x:f>
        <x:v>5</x:v>
      </x:c>
      <x:c r="P459" s="109" t="str">
        <x:f>IF(K459="","",K459+O459)</x:f>
      </x:c>
      <x:c r="Q459" s="111" t="str">
        <x:f>IF(P459="","",P459*Summary!$B$35)</x:f>
      </x:c>
      <x:c r="R459" s="112" t="n">
        <x:f>IF(N459="","",IF(N459="Double",Summary!$B$39,Summary!$B$38))</x:f>
        <x:v>1.6</x:v>
      </x:c>
      <x:c r="S459" s="113" t="str">
        <x:f>IF(Q459="","",Q459*R459)</x:f>
      </x:c>
    </x:row>
    <x:row r="460">
      <x:c r="A460" s="107"/>
      <x:c r="B460" s="108"/>
      <x:c r="C460" s="108"/>
      <x:c r="D460" s="108"/>
      <x:c r="E460" s="108"/>
      <x:c r="F460" s="108"/>
      <x:c r="G460" s="108"/>
      <x:c r="H460" s="108"/>
      <x:c r="I460" s="108"/>
      <x:c r="J460" s="108"/>
      <x:c r="K460" s="109"/>
      <x:c r="L460" s="110"/>
      <x:c r="M460" s="109" t="str">
        <x:f>IF(OR(K460="",L460=""),"",K460*L460)</x:f>
      </x:c>
      <x:c r="N460" s="108" t="str">
        <x:f>IF(I460="","Single",IF(LEFT(I460,2)="2x","Double","Single"))</x:f>
        <x:v>Single</x:v>
      </x:c>
      <x:c r="O460" s="109" t="n">
        <x:f>IF(N460="","",IF(N460="Double",Summary!$B$37,Summary!$B$36))</x:f>
        <x:v>5</x:v>
      </x:c>
      <x:c r="P460" s="109" t="str">
        <x:f>IF(K460="","",K460+O460)</x:f>
      </x:c>
      <x:c r="Q460" s="111" t="str">
        <x:f>IF(P460="","",P460*Summary!$B$35)</x:f>
      </x:c>
      <x:c r="R460" s="112" t="n">
        <x:f>IF(N460="","",IF(N460="Double",Summary!$B$39,Summary!$B$38))</x:f>
        <x:v>1.6</x:v>
      </x:c>
      <x:c r="S460" s="113" t="str">
        <x:f>IF(Q460="","",Q460*R460)</x:f>
      </x:c>
    </x:row>
    <x:row r="461">
      <x:c r="A461" s="107"/>
      <x:c r="B461" s="108"/>
      <x:c r="C461" s="108"/>
      <x:c r="D461" s="108"/>
      <x:c r="E461" s="108"/>
      <x:c r="F461" s="108"/>
      <x:c r="G461" s="108"/>
      <x:c r="H461" s="108"/>
      <x:c r="I461" s="108"/>
      <x:c r="J461" s="108"/>
      <x:c r="K461" s="109"/>
      <x:c r="L461" s="110"/>
      <x:c r="M461" s="109" t="str">
        <x:f>IF(OR(K461="",L461=""),"",K461*L461)</x:f>
      </x:c>
      <x:c r="N461" s="108" t="str">
        <x:f>IF(I461="","Single",IF(LEFT(I461,2)="2x","Double","Single"))</x:f>
        <x:v>Single</x:v>
      </x:c>
      <x:c r="O461" s="109" t="n">
        <x:f>IF(N461="","",IF(N461="Double",Summary!$B$37,Summary!$B$36))</x:f>
        <x:v>5</x:v>
      </x:c>
      <x:c r="P461" s="109" t="str">
        <x:f>IF(K461="","",K461+O461)</x:f>
      </x:c>
      <x:c r="Q461" s="111" t="str">
        <x:f>IF(P461="","",P461*Summary!$B$35)</x:f>
      </x:c>
      <x:c r="R461" s="112" t="n">
        <x:f>IF(N461="","",IF(N461="Double",Summary!$B$39,Summary!$B$38))</x:f>
        <x:v>1.6</x:v>
      </x:c>
      <x:c r="S461" s="113" t="str">
        <x:f>IF(Q461="","",Q461*R461)</x:f>
      </x:c>
    </x:row>
    <x:row r="462">
      <x:c r="A462" s="107"/>
      <x:c r="B462" s="108"/>
      <x:c r="C462" s="108"/>
      <x:c r="D462" s="108"/>
      <x:c r="E462" s="108"/>
      <x:c r="F462" s="108"/>
      <x:c r="G462" s="108"/>
      <x:c r="H462" s="108"/>
      <x:c r="I462" s="108"/>
      <x:c r="J462" s="108"/>
      <x:c r="K462" s="109"/>
      <x:c r="L462" s="110"/>
      <x:c r="M462" s="109" t="str">
        <x:f>IF(OR(K462="",L462=""),"",K462*L462)</x:f>
      </x:c>
      <x:c r="N462" s="108" t="str">
        <x:f>IF(I462="","Single",IF(LEFT(I462,2)="2x","Double","Single"))</x:f>
        <x:v>Single</x:v>
      </x:c>
      <x:c r="O462" s="109" t="n">
        <x:f>IF(N462="","",IF(N462="Double",Summary!$B$37,Summary!$B$36))</x:f>
        <x:v>5</x:v>
      </x:c>
      <x:c r="P462" s="109" t="str">
        <x:f>IF(K462="","",K462+O462)</x:f>
      </x:c>
      <x:c r="Q462" s="111" t="str">
        <x:f>IF(P462="","",P462*Summary!$B$35)</x:f>
      </x:c>
      <x:c r="R462" s="112" t="n">
        <x:f>IF(N462="","",IF(N462="Double",Summary!$B$39,Summary!$B$38))</x:f>
        <x:v>1.6</x:v>
      </x:c>
      <x:c r="S462" s="113" t="str">
        <x:f>IF(Q462="","",Q462*R462)</x:f>
      </x:c>
    </x:row>
    <x:row r="463">
      <x:c r="A463" s="107"/>
      <x:c r="B463" s="108"/>
      <x:c r="C463" s="108"/>
      <x:c r="D463" s="108"/>
      <x:c r="E463" s="108"/>
      <x:c r="F463" s="108"/>
      <x:c r="G463" s="108"/>
      <x:c r="H463" s="108"/>
      <x:c r="I463" s="108"/>
      <x:c r="J463" s="108"/>
      <x:c r="K463" s="109"/>
      <x:c r="L463" s="110"/>
      <x:c r="M463" s="109" t="str">
        <x:f>IF(OR(K463="",L463=""),"",K463*L463)</x:f>
      </x:c>
      <x:c r="N463" s="108" t="str">
        <x:f>IF(I463="","Single",IF(LEFT(I463,2)="2x","Double","Single"))</x:f>
        <x:v>Single</x:v>
      </x:c>
      <x:c r="O463" s="109" t="n">
        <x:f>IF(N463="","",IF(N463="Double",Summary!$B$37,Summary!$B$36))</x:f>
        <x:v>5</x:v>
      </x:c>
      <x:c r="P463" s="109" t="str">
        <x:f>IF(K463="","",K463+O463)</x:f>
      </x:c>
      <x:c r="Q463" s="111" t="str">
        <x:f>IF(P463="","",P463*Summary!$B$35)</x:f>
      </x:c>
      <x:c r="R463" s="112" t="n">
        <x:f>IF(N463="","",IF(N463="Double",Summary!$B$39,Summary!$B$38))</x:f>
        <x:v>1.6</x:v>
      </x:c>
      <x:c r="S463" s="113" t="str">
        <x:f>IF(Q463="","",Q463*R463)</x:f>
      </x:c>
    </x:row>
    <x:row r="464">
      <x:c r="A464" s="107"/>
      <x:c r="B464" s="108"/>
      <x:c r="C464" s="108"/>
      <x:c r="D464" s="108"/>
      <x:c r="E464" s="108"/>
      <x:c r="F464" s="108"/>
      <x:c r="G464" s="108"/>
      <x:c r="H464" s="108"/>
      <x:c r="I464" s="108"/>
      <x:c r="J464" s="108"/>
      <x:c r="K464" s="109"/>
      <x:c r="L464" s="110"/>
      <x:c r="M464" s="109" t="str">
        <x:f>IF(OR(K464="",L464=""),"",K464*L464)</x:f>
      </x:c>
      <x:c r="N464" s="108" t="str">
        <x:f>IF(I464="","Single",IF(LEFT(I464,2)="2x","Double","Single"))</x:f>
        <x:v>Single</x:v>
      </x:c>
      <x:c r="O464" s="109" t="n">
        <x:f>IF(N464="","",IF(N464="Double",Summary!$B$37,Summary!$B$36))</x:f>
        <x:v>5</x:v>
      </x:c>
      <x:c r="P464" s="109" t="str">
        <x:f>IF(K464="","",K464+O464)</x:f>
      </x:c>
      <x:c r="Q464" s="111" t="str">
        <x:f>IF(P464="","",P464*Summary!$B$35)</x:f>
      </x:c>
      <x:c r="R464" s="112" t="n">
        <x:f>IF(N464="","",IF(N464="Double",Summary!$B$39,Summary!$B$38))</x:f>
        <x:v>1.6</x:v>
      </x:c>
      <x:c r="S464" s="113" t="str">
        <x:f>IF(Q464="","",Q464*R464)</x:f>
      </x:c>
    </x:row>
    <x:row r="465">
      <x:c r="A465" s="107"/>
      <x:c r="B465" s="108"/>
      <x:c r="C465" s="108"/>
      <x:c r="D465" s="108"/>
      <x:c r="E465" s="108"/>
      <x:c r="F465" s="108"/>
      <x:c r="G465" s="108"/>
      <x:c r="H465" s="108"/>
      <x:c r="I465" s="108"/>
      <x:c r="J465" s="108"/>
      <x:c r="K465" s="109"/>
      <x:c r="L465" s="110"/>
      <x:c r="M465" s="109" t="str">
        <x:f>IF(OR(K465="",L465=""),"",K465*L465)</x:f>
      </x:c>
      <x:c r="N465" s="108" t="str">
        <x:f>IF(I465="","Single",IF(LEFT(I465,2)="2x","Double","Single"))</x:f>
        <x:v>Single</x:v>
      </x:c>
      <x:c r="O465" s="109" t="n">
        <x:f>IF(N465="","",IF(N465="Double",Summary!$B$37,Summary!$B$36))</x:f>
        <x:v>5</x:v>
      </x:c>
      <x:c r="P465" s="109" t="str">
        <x:f>IF(K465="","",K465+O465)</x:f>
      </x:c>
      <x:c r="Q465" s="111" t="str">
        <x:f>IF(P465="","",P465*Summary!$B$35)</x:f>
      </x:c>
      <x:c r="R465" s="112" t="n">
        <x:f>IF(N465="","",IF(N465="Double",Summary!$B$39,Summary!$B$38))</x:f>
        <x:v>1.6</x:v>
      </x:c>
      <x:c r="S465" s="113" t="str">
        <x:f>IF(Q465="","",Q465*R465)</x:f>
      </x:c>
    </x:row>
    <x:row r="466">
      <x:c r="A466" s="107"/>
      <x:c r="B466" s="108"/>
      <x:c r="C466" s="108"/>
      <x:c r="D466" s="108"/>
      <x:c r="E466" s="108"/>
      <x:c r="F466" s="108"/>
      <x:c r="G466" s="108"/>
      <x:c r="H466" s="108"/>
      <x:c r="I466" s="108"/>
      <x:c r="J466" s="108"/>
      <x:c r="K466" s="109"/>
      <x:c r="L466" s="110"/>
      <x:c r="M466" s="109" t="str">
        <x:f>IF(OR(K466="",L466=""),"",K466*L466)</x:f>
      </x:c>
      <x:c r="N466" s="108" t="str">
        <x:f>IF(I466="","Single",IF(LEFT(I466,2)="2x","Double","Single"))</x:f>
        <x:v>Single</x:v>
      </x:c>
      <x:c r="O466" s="109" t="n">
        <x:f>IF(N466="","",IF(N466="Double",Summary!$B$37,Summary!$B$36))</x:f>
        <x:v>5</x:v>
      </x:c>
      <x:c r="P466" s="109" t="str">
        <x:f>IF(K466="","",K466+O466)</x:f>
      </x:c>
      <x:c r="Q466" s="111" t="str">
        <x:f>IF(P466="","",P466*Summary!$B$35)</x:f>
      </x:c>
      <x:c r="R466" s="112" t="n">
        <x:f>IF(N466="","",IF(N466="Double",Summary!$B$39,Summary!$B$38))</x:f>
        <x:v>1.6</x:v>
      </x:c>
      <x:c r="S466" s="113" t="str">
        <x:f>IF(Q466="","",Q466*R466)</x:f>
      </x:c>
    </x:row>
    <x:row r="467">
      <x:c r="A467" s="107"/>
      <x:c r="B467" s="108"/>
      <x:c r="C467" s="108"/>
      <x:c r="D467" s="108"/>
      <x:c r="E467" s="108"/>
      <x:c r="F467" s="108"/>
      <x:c r="G467" s="108"/>
      <x:c r="H467" s="108"/>
      <x:c r="I467" s="108"/>
      <x:c r="J467" s="108"/>
      <x:c r="K467" s="109"/>
      <x:c r="L467" s="110"/>
      <x:c r="M467" s="109" t="str">
        <x:f>IF(OR(K467="",L467=""),"",K467*L467)</x:f>
      </x:c>
      <x:c r="N467" s="108" t="str">
        <x:f>IF(I467="","Single",IF(LEFT(I467,2)="2x","Double","Single"))</x:f>
        <x:v>Single</x:v>
      </x:c>
      <x:c r="O467" s="109" t="n">
        <x:f>IF(N467="","",IF(N467="Double",Summary!$B$37,Summary!$B$36))</x:f>
        <x:v>5</x:v>
      </x:c>
      <x:c r="P467" s="109" t="str">
        <x:f>IF(K467="","",K467+O467)</x:f>
      </x:c>
      <x:c r="Q467" s="111" t="str">
        <x:f>IF(P467="","",P467*Summary!$B$35)</x:f>
      </x:c>
      <x:c r="R467" s="112" t="n">
        <x:f>IF(N467="","",IF(N467="Double",Summary!$B$39,Summary!$B$38))</x:f>
        <x:v>1.6</x:v>
      </x:c>
      <x:c r="S467" s="113" t="str">
        <x:f>IF(Q467="","",Q467*R467)</x:f>
      </x:c>
    </x:row>
    <x:row r="468">
      <x:c r="A468" s="107"/>
      <x:c r="B468" s="108"/>
      <x:c r="C468" s="108"/>
      <x:c r="D468" s="108"/>
      <x:c r="E468" s="108"/>
      <x:c r="F468" s="108"/>
      <x:c r="G468" s="108"/>
      <x:c r="H468" s="108"/>
      <x:c r="I468" s="108"/>
      <x:c r="J468" s="108"/>
      <x:c r="K468" s="109"/>
      <x:c r="L468" s="110"/>
      <x:c r="M468" s="109" t="str">
        <x:f>IF(OR(K468="",L468=""),"",K468*L468)</x:f>
      </x:c>
      <x:c r="N468" s="108" t="str">
        <x:f>IF(I468="","Single",IF(LEFT(I468,2)="2x","Double","Single"))</x:f>
        <x:v>Single</x:v>
      </x:c>
      <x:c r="O468" s="109" t="n">
        <x:f>IF(N468="","",IF(N468="Double",Summary!$B$37,Summary!$B$36))</x:f>
        <x:v>5</x:v>
      </x:c>
      <x:c r="P468" s="109" t="str">
        <x:f>IF(K468="","",K468+O468)</x:f>
      </x:c>
      <x:c r="Q468" s="111" t="str">
        <x:f>IF(P468="","",P468*Summary!$B$35)</x:f>
      </x:c>
      <x:c r="R468" s="112" t="n">
        <x:f>IF(N468="","",IF(N468="Double",Summary!$B$39,Summary!$B$38))</x:f>
        <x:v>1.6</x:v>
      </x:c>
      <x:c r="S468" s="113" t="str">
        <x:f>IF(Q468="","",Q468*R468)</x:f>
      </x:c>
    </x:row>
    <x:row r="469">
      <x:c r="A469" s="107"/>
      <x:c r="B469" s="108"/>
      <x:c r="C469" s="108"/>
      <x:c r="D469" s="108"/>
      <x:c r="E469" s="108"/>
      <x:c r="F469" s="108"/>
      <x:c r="G469" s="108"/>
      <x:c r="H469" s="108"/>
      <x:c r="I469" s="108"/>
      <x:c r="J469" s="108"/>
      <x:c r="K469" s="109"/>
      <x:c r="L469" s="110"/>
      <x:c r="M469" s="109" t="str">
        <x:f>IF(OR(K469="",L469=""),"",K469*L469)</x:f>
      </x:c>
      <x:c r="N469" s="108" t="str">
        <x:f>IF(I469="","Single",IF(LEFT(I469,2)="2x","Double","Single"))</x:f>
        <x:v>Single</x:v>
      </x:c>
      <x:c r="O469" s="109" t="n">
        <x:f>IF(N469="","",IF(N469="Double",Summary!$B$37,Summary!$B$36))</x:f>
        <x:v>5</x:v>
      </x:c>
      <x:c r="P469" s="109" t="str">
        <x:f>IF(K469="","",K469+O469)</x:f>
      </x:c>
      <x:c r="Q469" s="111" t="str">
        <x:f>IF(P469="","",P469*Summary!$B$35)</x:f>
      </x:c>
      <x:c r="R469" s="112" t="n">
        <x:f>IF(N469="","",IF(N469="Double",Summary!$B$39,Summary!$B$38))</x:f>
        <x:v>1.6</x:v>
      </x:c>
      <x:c r="S469" s="113" t="str">
        <x:f>IF(Q469="","",Q469*R469)</x:f>
      </x:c>
    </x:row>
    <x:row r="470">
      <x:c r="A470" s="107"/>
      <x:c r="B470" s="108"/>
      <x:c r="C470" s="108"/>
      <x:c r="D470" s="108"/>
      <x:c r="E470" s="108"/>
      <x:c r="F470" s="108"/>
      <x:c r="G470" s="108"/>
      <x:c r="H470" s="108"/>
      <x:c r="I470" s="108"/>
      <x:c r="J470" s="108"/>
      <x:c r="K470" s="109"/>
      <x:c r="L470" s="110"/>
      <x:c r="M470" s="109" t="str">
        <x:f>IF(OR(K470="",L470=""),"",K470*L470)</x:f>
      </x:c>
      <x:c r="N470" s="108" t="str">
        <x:f>IF(I470="","Single",IF(LEFT(I470,2)="2x","Double","Single"))</x:f>
        <x:v>Single</x:v>
      </x:c>
      <x:c r="O470" s="109" t="n">
        <x:f>IF(N470="","",IF(N470="Double",Summary!$B$37,Summary!$B$36))</x:f>
        <x:v>5</x:v>
      </x:c>
      <x:c r="P470" s="109" t="str">
        <x:f>IF(K470="","",K470+O470)</x:f>
      </x:c>
      <x:c r="Q470" s="111" t="str">
        <x:f>IF(P470="","",P470*Summary!$B$35)</x:f>
      </x:c>
      <x:c r="R470" s="112" t="n">
        <x:f>IF(N470="","",IF(N470="Double",Summary!$B$39,Summary!$B$38))</x:f>
        <x:v>1.6</x:v>
      </x:c>
      <x:c r="S470" s="113" t="str">
        <x:f>IF(Q470="","",Q470*R470)</x:f>
      </x:c>
    </x:row>
    <x:row r="471">
      <x:c r="A471" s="107"/>
      <x:c r="B471" s="108"/>
      <x:c r="C471" s="108"/>
      <x:c r="D471" s="108"/>
      <x:c r="E471" s="108"/>
      <x:c r="F471" s="108"/>
      <x:c r="G471" s="108"/>
      <x:c r="H471" s="108"/>
      <x:c r="I471" s="108"/>
      <x:c r="J471" s="108"/>
      <x:c r="K471" s="109"/>
      <x:c r="L471" s="110"/>
      <x:c r="M471" s="109" t="str">
        <x:f>IF(OR(K471="",L471=""),"",K471*L471)</x:f>
      </x:c>
      <x:c r="N471" s="108" t="str">
        <x:f>IF(I471="","Single",IF(LEFT(I471,2)="2x","Double","Single"))</x:f>
        <x:v>Single</x:v>
      </x:c>
      <x:c r="O471" s="109" t="n">
        <x:f>IF(N471="","",IF(N471="Double",Summary!$B$37,Summary!$B$36))</x:f>
        <x:v>5</x:v>
      </x:c>
      <x:c r="P471" s="109" t="str">
        <x:f>IF(K471="","",K471+O471)</x:f>
      </x:c>
      <x:c r="Q471" s="111" t="str">
        <x:f>IF(P471="","",P471*Summary!$B$35)</x:f>
      </x:c>
      <x:c r="R471" s="112" t="n">
        <x:f>IF(N471="","",IF(N471="Double",Summary!$B$39,Summary!$B$38))</x:f>
        <x:v>1.6</x:v>
      </x:c>
      <x:c r="S471" s="113" t="str">
        <x:f>IF(Q471="","",Q471*R471)</x:f>
      </x:c>
    </x:row>
    <x:row r="472">
      <x:c r="A472" s="107"/>
      <x:c r="B472" s="108"/>
      <x:c r="C472" s="108"/>
      <x:c r="D472" s="108"/>
      <x:c r="E472" s="108"/>
      <x:c r="F472" s="108"/>
      <x:c r="G472" s="108"/>
      <x:c r="H472" s="108"/>
      <x:c r="I472" s="108"/>
      <x:c r="J472" s="108"/>
      <x:c r="K472" s="109"/>
      <x:c r="L472" s="110"/>
      <x:c r="M472" s="109" t="str">
        <x:f>IF(OR(K472="",L472=""),"",K472*L472)</x:f>
      </x:c>
      <x:c r="N472" s="108" t="str">
        <x:f>IF(I472="","Single",IF(LEFT(I472,2)="2x","Double","Single"))</x:f>
        <x:v>Single</x:v>
      </x:c>
      <x:c r="O472" s="109" t="n">
        <x:f>IF(N472="","",IF(N472="Double",Summary!$B$37,Summary!$B$36))</x:f>
        <x:v>5</x:v>
      </x:c>
      <x:c r="P472" s="109" t="str">
        <x:f>IF(K472="","",K472+O472)</x:f>
      </x:c>
      <x:c r="Q472" s="111" t="str">
        <x:f>IF(P472="","",P472*Summary!$B$35)</x:f>
      </x:c>
      <x:c r="R472" s="112" t="n">
        <x:f>IF(N472="","",IF(N472="Double",Summary!$B$39,Summary!$B$38))</x:f>
        <x:v>1.6</x:v>
      </x:c>
      <x:c r="S472" s="113" t="str">
        <x:f>IF(Q472="","",Q472*R472)</x:f>
      </x:c>
    </x:row>
    <x:row r="473">
      <x:c r="A473" s="107"/>
      <x:c r="B473" s="108"/>
      <x:c r="C473" s="108"/>
      <x:c r="D473" s="108"/>
      <x:c r="E473" s="108"/>
      <x:c r="F473" s="108"/>
      <x:c r="G473" s="108"/>
      <x:c r="H473" s="108"/>
      <x:c r="I473" s="108"/>
      <x:c r="J473" s="108"/>
      <x:c r="K473" s="109"/>
      <x:c r="L473" s="110"/>
      <x:c r="M473" s="109" t="str">
        <x:f>IF(OR(K473="",L473=""),"",K473*L473)</x:f>
      </x:c>
      <x:c r="N473" s="108" t="str">
        <x:f>IF(I473="","Single",IF(LEFT(I473,2)="2x","Double","Single"))</x:f>
        <x:v>Single</x:v>
      </x:c>
      <x:c r="O473" s="109" t="n">
        <x:f>IF(N473="","",IF(N473="Double",Summary!$B$37,Summary!$B$36))</x:f>
        <x:v>5</x:v>
      </x:c>
      <x:c r="P473" s="109" t="str">
        <x:f>IF(K473="","",K473+O473)</x:f>
      </x:c>
      <x:c r="Q473" s="111" t="str">
        <x:f>IF(P473="","",P473*Summary!$B$35)</x:f>
      </x:c>
      <x:c r="R473" s="112" t="n">
        <x:f>IF(N473="","",IF(N473="Double",Summary!$B$39,Summary!$B$38))</x:f>
        <x:v>1.6</x:v>
      </x:c>
      <x:c r="S473" s="113" t="str">
        <x:f>IF(Q473="","",Q473*R473)</x:f>
      </x:c>
    </x:row>
    <x:row r="474">
      <x:c r="A474" s="107"/>
      <x:c r="B474" s="108"/>
      <x:c r="C474" s="108"/>
      <x:c r="D474" s="108"/>
      <x:c r="E474" s="108"/>
      <x:c r="F474" s="108"/>
      <x:c r="G474" s="108"/>
      <x:c r="H474" s="108"/>
      <x:c r="I474" s="108"/>
      <x:c r="J474" s="108"/>
      <x:c r="K474" s="109"/>
      <x:c r="L474" s="110"/>
      <x:c r="M474" s="109" t="str">
        <x:f>IF(OR(K474="",L474=""),"",K474*L474)</x:f>
      </x:c>
      <x:c r="N474" s="108" t="str">
        <x:f>IF(I474="","Single",IF(LEFT(I474,2)="2x","Double","Single"))</x:f>
        <x:v>Single</x:v>
      </x:c>
      <x:c r="O474" s="109" t="n">
        <x:f>IF(N474="","",IF(N474="Double",Summary!$B$37,Summary!$B$36))</x:f>
        <x:v>5</x:v>
      </x:c>
      <x:c r="P474" s="109" t="str">
        <x:f>IF(K474="","",K474+O474)</x:f>
      </x:c>
      <x:c r="Q474" s="111" t="str">
        <x:f>IF(P474="","",P474*Summary!$B$35)</x:f>
      </x:c>
      <x:c r="R474" s="112" t="n">
        <x:f>IF(N474="","",IF(N474="Double",Summary!$B$39,Summary!$B$38))</x:f>
        <x:v>1.6</x:v>
      </x:c>
      <x:c r="S474" s="113" t="str">
        <x:f>IF(Q474="","",Q474*R474)</x:f>
      </x:c>
    </x:row>
    <x:row r="475">
      <x:c r="A475" s="107"/>
      <x:c r="B475" s="108"/>
      <x:c r="C475" s="108"/>
      <x:c r="D475" s="108"/>
      <x:c r="E475" s="108"/>
      <x:c r="F475" s="108"/>
      <x:c r="G475" s="108"/>
      <x:c r="H475" s="108"/>
      <x:c r="I475" s="108"/>
      <x:c r="J475" s="108"/>
      <x:c r="K475" s="109"/>
      <x:c r="L475" s="110"/>
      <x:c r="M475" s="109" t="str">
        <x:f>IF(OR(K475="",L475=""),"",K475*L475)</x:f>
      </x:c>
      <x:c r="N475" s="108" t="str">
        <x:f>IF(I475="","Single",IF(LEFT(I475,2)="2x","Double","Single"))</x:f>
        <x:v>Single</x:v>
      </x:c>
      <x:c r="O475" s="109" t="n">
        <x:f>IF(N475="","",IF(N475="Double",Summary!$B$37,Summary!$B$36))</x:f>
        <x:v>5</x:v>
      </x:c>
      <x:c r="P475" s="109" t="str">
        <x:f>IF(K475="","",K475+O475)</x:f>
      </x:c>
      <x:c r="Q475" s="111" t="str">
        <x:f>IF(P475="","",P475*Summary!$B$35)</x:f>
      </x:c>
      <x:c r="R475" s="112" t="n">
        <x:f>IF(N475="","",IF(N475="Double",Summary!$B$39,Summary!$B$38))</x:f>
        <x:v>1.6</x:v>
      </x:c>
      <x:c r="S475" s="113" t="str">
        <x:f>IF(Q475="","",Q475*R475)</x:f>
      </x:c>
    </x:row>
    <x:row r="476">
      <x:c r="A476" s="107"/>
      <x:c r="B476" s="108"/>
      <x:c r="C476" s="108"/>
      <x:c r="D476" s="108"/>
      <x:c r="E476" s="108"/>
      <x:c r="F476" s="108"/>
      <x:c r="G476" s="108"/>
      <x:c r="H476" s="108"/>
      <x:c r="I476" s="108"/>
      <x:c r="J476" s="108"/>
      <x:c r="K476" s="109"/>
      <x:c r="L476" s="110"/>
      <x:c r="M476" s="109" t="str">
        <x:f>IF(OR(K476="",L476=""),"",K476*L476)</x:f>
      </x:c>
      <x:c r="N476" s="108" t="str">
        <x:f>IF(I476="","Single",IF(LEFT(I476,2)="2x","Double","Single"))</x:f>
        <x:v>Single</x:v>
      </x:c>
      <x:c r="O476" s="109" t="n">
        <x:f>IF(N476="","",IF(N476="Double",Summary!$B$37,Summary!$B$36))</x:f>
        <x:v>5</x:v>
      </x:c>
      <x:c r="P476" s="109" t="str">
        <x:f>IF(K476="","",K476+O476)</x:f>
      </x:c>
      <x:c r="Q476" s="111" t="str">
        <x:f>IF(P476="","",P476*Summary!$B$35)</x:f>
      </x:c>
      <x:c r="R476" s="112" t="n">
        <x:f>IF(N476="","",IF(N476="Double",Summary!$B$39,Summary!$B$38))</x:f>
        <x:v>1.6</x:v>
      </x:c>
      <x:c r="S476" s="113" t="str">
        <x:f>IF(Q476="","",Q476*R476)</x:f>
      </x:c>
    </x:row>
    <x:row r="477">
      <x:c r="A477" s="107"/>
      <x:c r="B477" s="108"/>
      <x:c r="C477" s="108"/>
      <x:c r="D477" s="108"/>
      <x:c r="E477" s="108"/>
      <x:c r="F477" s="108"/>
      <x:c r="G477" s="108"/>
      <x:c r="H477" s="108"/>
      <x:c r="I477" s="108"/>
      <x:c r="J477" s="108"/>
      <x:c r="K477" s="109"/>
      <x:c r="L477" s="110"/>
      <x:c r="M477" s="109" t="str">
        <x:f>IF(OR(K477="",L477=""),"",K477*L477)</x:f>
      </x:c>
      <x:c r="N477" s="108" t="str">
        <x:f>IF(I477="","Single",IF(LEFT(I477,2)="2x","Double","Single"))</x:f>
        <x:v>Single</x:v>
      </x:c>
      <x:c r="O477" s="109" t="n">
        <x:f>IF(N477="","",IF(N477="Double",Summary!$B$37,Summary!$B$36))</x:f>
        <x:v>5</x:v>
      </x:c>
      <x:c r="P477" s="109" t="str">
        <x:f>IF(K477="","",K477+O477)</x:f>
      </x:c>
      <x:c r="Q477" s="111" t="str">
        <x:f>IF(P477="","",P477*Summary!$B$35)</x:f>
      </x:c>
      <x:c r="R477" s="112" t="n">
        <x:f>IF(N477="","",IF(N477="Double",Summary!$B$39,Summary!$B$38))</x:f>
        <x:v>1.6</x:v>
      </x:c>
      <x:c r="S477" s="113" t="str">
        <x:f>IF(Q477="","",Q477*R477)</x:f>
      </x:c>
    </x:row>
    <x:row r="478">
      <x:c r="A478" s="107"/>
      <x:c r="B478" s="108"/>
      <x:c r="C478" s="108"/>
      <x:c r="D478" s="108"/>
      <x:c r="E478" s="108"/>
      <x:c r="F478" s="108"/>
      <x:c r="G478" s="108"/>
      <x:c r="H478" s="108"/>
      <x:c r="I478" s="108"/>
      <x:c r="J478" s="108"/>
      <x:c r="K478" s="109"/>
      <x:c r="L478" s="110"/>
      <x:c r="M478" s="109" t="str">
        <x:f>IF(OR(K478="",L478=""),"",K478*L478)</x:f>
      </x:c>
      <x:c r="N478" s="108" t="str">
        <x:f>IF(I478="","Single",IF(LEFT(I478,2)="2x","Double","Single"))</x:f>
        <x:v>Single</x:v>
      </x:c>
      <x:c r="O478" s="109" t="n">
        <x:f>IF(N478="","",IF(N478="Double",Summary!$B$37,Summary!$B$36))</x:f>
        <x:v>5</x:v>
      </x:c>
      <x:c r="P478" s="109" t="str">
        <x:f>IF(K478="","",K478+O478)</x:f>
      </x:c>
      <x:c r="Q478" s="111" t="str">
        <x:f>IF(P478="","",P478*Summary!$B$35)</x:f>
      </x:c>
      <x:c r="R478" s="112" t="n">
        <x:f>IF(N478="","",IF(N478="Double",Summary!$B$39,Summary!$B$38))</x:f>
        <x:v>1.6</x:v>
      </x:c>
      <x:c r="S478" s="113" t="str">
        <x:f>IF(Q478="","",Q478*R478)</x:f>
      </x:c>
    </x:row>
    <x:row r="479">
      <x:c r="A479" s="107"/>
      <x:c r="B479" s="108"/>
      <x:c r="C479" s="108"/>
      <x:c r="D479" s="108"/>
      <x:c r="E479" s="108"/>
      <x:c r="F479" s="108"/>
      <x:c r="G479" s="108"/>
      <x:c r="H479" s="108"/>
      <x:c r="I479" s="108"/>
      <x:c r="J479" s="108"/>
      <x:c r="K479" s="109"/>
      <x:c r="L479" s="110"/>
      <x:c r="M479" s="109" t="str">
        <x:f>IF(OR(K479="",L479=""),"",K479*L479)</x:f>
      </x:c>
      <x:c r="N479" s="108" t="str">
        <x:f>IF(I479="","Single",IF(LEFT(I479,2)="2x","Double","Single"))</x:f>
        <x:v>Single</x:v>
      </x:c>
      <x:c r="O479" s="109" t="n">
        <x:f>IF(N479="","",IF(N479="Double",Summary!$B$37,Summary!$B$36))</x:f>
        <x:v>5</x:v>
      </x:c>
      <x:c r="P479" s="109" t="str">
        <x:f>IF(K479="","",K479+O479)</x:f>
      </x:c>
      <x:c r="Q479" s="111" t="str">
        <x:f>IF(P479="","",P479*Summary!$B$35)</x:f>
      </x:c>
      <x:c r="R479" s="112" t="n">
        <x:f>IF(N479="","",IF(N479="Double",Summary!$B$39,Summary!$B$38))</x:f>
        <x:v>1.6</x:v>
      </x:c>
      <x:c r="S479" s="113" t="str">
        <x:f>IF(Q479="","",Q479*R479)</x:f>
      </x:c>
    </x:row>
    <x:row r="480">
      <x:c r="A480" s="107"/>
      <x:c r="B480" s="108"/>
      <x:c r="C480" s="108"/>
      <x:c r="D480" s="108"/>
      <x:c r="E480" s="108"/>
      <x:c r="F480" s="108"/>
      <x:c r="G480" s="108"/>
      <x:c r="H480" s="108"/>
      <x:c r="I480" s="108"/>
      <x:c r="J480" s="108"/>
      <x:c r="K480" s="109"/>
      <x:c r="L480" s="110"/>
      <x:c r="M480" s="109" t="str">
        <x:f>IF(OR(K480="",L480=""),"",K480*L480)</x:f>
      </x:c>
      <x:c r="N480" s="108" t="str">
        <x:f>IF(I480="","Single",IF(LEFT(I480,2)="2x","Double","Single"))</x:f>
        <x:v>Single</x:v>
      </x:c>
      <x:c r="O480" s="109" t="n">
        <x:f>IF(N480="","",IF(N480="Double",Summary!$B$37,Summary!$B$36))</x:f>
        <x:v>5</x:v>
      </x:c>
      <x:c r="P480" s="109" t="str">
        <x:f>IF(K480="","",K480+O480)</x:f>
      </x:c>
      <x:c r="Q480" s="111" t="str">
        <x:f>IF(P480="","",P480*Summary!$B$35)</x:f>
      </x:c>
      <x:c r="R480" s="112" t="n">
        <x:f>IF(N480="","",IF(N480="Double",Summary!$B$39,Summary!$B$38))</x:f>
        <x:v>1.6</x:v>
      </x:c>
      <x:c r="S480" s="113" t="str">
        <x:f>IF(Q480="","",Q480*R480)</x:f>
      </x:c>
    </x:row>
    <x:row r="481">
      <x:c r="A481" s="107"/>
      <x:c r="B481" s="108"/>
      <x:c r="C481" s="108"/>
      <x:c r="D481" s="108"/>
      <x:c r="E481" s="108"/>
      <x:c r="F481" s="108"/>
      <x:c r="G481" s="108"/>
      <x:c r="H481" s="108"/>
      <x:c r="I481" s="108"/>
      <x:c r="J481" s="108"/>
      <x:c r="K481" s="109"/>
      <x:c r="L481" s="110"/>
      <x:c r="M481" s="109" t="str">
        <x:f>IF(OR(K481="",L481=""),"",K481*L481)</x:f>
      </x:c>
      <x:c r="N481" s="108" t="str">
        <x:f>IF(I481="","Single",IF(LEFT(I481,2)="2x","Double","Single"))</x:f>
        <x:v>Single</x:v>
      </x:c>
      <x:c r="O481" s="109" t="n">
        <x:f>IF(N481="","",IF(N481="Double",Summary!$B$37,Summary!$B$36))</x:f>
        <x:v>5</x:v>
      </x:c>
      <x:c r="P481" s="109" t="str">
        <x:f>IF(K481="","",K481+O481)</x:f>
      </x:c>
      <x:c r="Q481" s="111" t="str">
        <x:f>IF(P481="","",P481*Summary!$B$35)</x:f>
      </x:c>
      <x:c r="R481" s="112" t="n">
        <x:f>IF(N481="","",IF(N481="Double",Summary!$B$39,Summary!$B$38))</x:f>
        <x:v>1.6</x:v>
      </x:c>
      <x:c r="S481" s="113" t="str">
        <x:f>IF(Q481="","",Q481*R481)</x:f>
      </x:c>
    </x:row>
    <x:row r="482">
      <x:c r="A482" s="107"/>
      <x:c r="B482" s="108"/>
      <x:c r="C482" s="108"/>
      <x:c r="D482" s="108"/>
      <x:c r="E482" s="108"/>
      <x:c r="F482" s="108"/>
      <x:c r="G482" s="108"/>
      <x:c r="H482" s="108"/>
      <x:c r="I482" s="108"/>
      <x:c r="J482" s="108"/>
      <x:c r="K482" s="109"/>
      <x:c r="L482" s="110"/>
      <x:c r="M482" s="109" t="str">
        <x:f>IF(OR(K482="",L482=""),"",K482*L482)</x:f>
      </x:c>
      <x:c r="N482" s="108" t="str">
        <x:f>IF(I482="","Single",IF(LEFT(I482,2)="2x","Double","Single"))</x:f>
        <x:v>Single</x:v>
      </x:c>
      <x:c r="O482" s="109" t="n">
        <x:f>IF(N482="","",IF(N482="Double",Summary!$B$37,Summary!$B$36))</x:f>
        <x:v>5</x:v>
      </x:c>
      <x:c r="P482" s="109" t="str">
        <x:f>IF(K482="","",K482+O482)</x:f>
      </x:c>
      <x:c r="Q482" s="111" t="str">
        <x:f>IF(P482="","",P482*Summary!$B$35)</x:f>
      </x:c>
      <x:c r="R482" s="112" t="n">
        <x:f>IF(N482="","",IF(N482="Double",Summary!$B$39,Summary!$B$38))</x:f>
        <x:v>1.6</x:v>
      </x:c>
      <x:c r="S482" s="113" t="str">
        <x:f>IF(Q482="","",Q482*R482)</x:f>
      </x:c>
    </x:row>
    <x:row r="483">
      <x:c r="A483" s="107"/>
      <x:c r="B483" s="108"/>
      <x:c r="C483" s="108"/>
      <x:c r="D483" s="108"/>
      <x:c r="E483" s="108"/>
      <x:c r="F483" s="108"/>
      <x:c r="G483" s="108"/>
      <x:c r="H483" s="108"/>
      <x:c r="I483" s="108"/>
      <x:c r="J483" s="108"/>
      <x:c r="K483" s="109"/>
      <x:c r="L483" s="110"/>
      <x:c r="M483" s="109" t="str">
        <x:f>IF(OR(K483="",L483=""),"",K483*L483)</x:f>
      </x:c>
      <x:c r="N483" s="108" t="str">
        <x:f>IF(I483="","Single",IF(LEFT(I483,2)="2x","Double","Single"))</x:f>
        <x:v>Single</x:v>
      </x:c>
      <x:c r="O483" s="109" t="n">
        <x:f>IF(N483="","",IF(N483="Double",Summary!$B$37,Summary!$B$36))</x:f>
        <x:v>5</x:v>
      </x:c>
      <x:c r="P483" s="109" t="str">
        <x:f>IF(K483="","",K483+O483)</x:f>
      </x:c>
      <x:c r="Q483" s="111" t="str">
        <x:f>IF(P483="","",P483*Summary!$B$35)</x:f>
      </x:c>
      <x:c r="R483" s="112" t="n">
        <x:f>IF(N483="","",IF(N483="Double",Summary!$B$39,Summary!$B$38))</x:f>
        <x:v>1.6</x:v>
      </x:c>
      <x:c r="S483" s="113" t="str">
        <x:f>IF(Q483="","",Q483*R483)</x:f>
      </x:c>
    </x:row>
    <x:row r="484">
      <x:c r="A484" s="107"/>
      <x:c r="B484" s="108"/>
      <x:c r="C484" s="108"/>
      <x:c r="D484" s="108"/>
      <x:c r="E484" s="108"/>
      <x:c r="F484" s="108"/>
      <x:c r="G484" s="108"/>
      <x:c r="H484" s="108"/>
      <x:c r="I484" s="108"/>
      <x:c r="J484" s="108"/>
      <x:c r="K484" s="109"/>
      <x:c r="L484" s="110"/>
      <x:c r="M484" s="109" t="str">
        <x:f>IF(OR(K484="",L484=""),"",K484*L484)</x:f>
      </x:c>
      <x:c r="N484" s="108" t="str">
        <x:f>IF(I484="","Single",IF(LEFT(I484,2)="2x","Double","Single"))</x:f>
        <x:v>Single</x:v>
      </x:c>
      <x:c r="O484" s="109" t="n">
        <x:f>IF(N484="","",IF(N484="Double",Summary!$B$37,Summary!$B$36))</x:f>
        <x:v>5</x:v>
      </x:c>
      <x:c r="P484" s="109" t="str">
        <x:f>IF(K484="","",K484+O484)</x:f>
      </x:c>
      <x:c r="Q484" s="111" t="str">
        <x:f>IF(P484="","",P484*Summary!$B$35)</x:f>
      </x:c>
      <x:c r="R484" s="112" t="n">
        <x:f>IF(N484="","",IF(N484="Double",Summary!$B$39,Summary!$B$38))</x:f>
        <x:v>1.6</x:v>
      </x:c>
      <x:c r="S484" s="113" t="str">
        <x:f>IF(Q484="","",Q484*R484)</x:f>
      </x:c>
    </x:row>
    <x:row r="485">
      <x:c r="A485" s="107"/>
      <x:c r="B485" s="108"/>
      <x:c r="C485" s="108"/>
      <x:c r="D485" s="108"/>
      <x:c r="E485" s="108"/>
      <x:c r="F485" s="108"/>
      <x:c r="G485" s="108"/>
      <x:c r="H485" s="108"/>
      <x:c r="I485" s="108"/>
      <x:c r="J485" s="108"/>
      <x:c r="K485" s="109"/>
      <x:c r="L485" s="110"/>
      <x:c r="M485" s="109" t="str">
        <x:f>IF(OR(K485="",L485=""),"",K485*L485)</x:f>
      </x:c>
      <x:c r="N485" s="108" t="str">
        <x:f>IF(I485="","Single",IF(LEFT(I485,2)="2x","Double","Single"))</x:f>
        <x:v>Single</x:v>
      </x:c>
      <x:c r="O485" s="109" t="n">
        <x:f>IF(N485="","",IF(N485="Double",Summary!$B$37,Summary!$B$36))</x:f>
        <x:v>5</x:v>
      </x:c>
      <x:c r="P485" s="109" t="str">
        <x:f>IF(K485="","",K485+O485)</x:f>
      </x:c>
      <x:c r="Q485" s="111" t="str">
        <x:f>IF(P485="","",P485*Summary!$B$35)</x:f>
      </x:c>
      <x:c r="R485" s="112" t="n">
        <x:f>IF(N485="","",IF(N485="Double",Summary!$B$39,Summary!$B$38))</x:f>
        <x:v>1.6</x:v>
      </x:c>
      <x:c r="S485" s="113" t="str">
        <x:f>IF(Q485="","",Q485*R485)</x:f>
      </x:c>
    </x:row>
    <x:row r="486">
      <x:c r="A486" s="107"/>
      <x:c r="B486" s="108"/>
      <x:c r="C486" s="108"/>
      <x:c r="D486" s="108"/>
      <x:c r="E486" s="108"/>
      <x:c r="F486" s="108"/>
      <x:c r="G486" s="108"/>
      <x:c r="H486" s="108"/>
      <x:c r="I486" s="108"/>
      <x:c r="J486" s="108"/>
      <x:c r="K486" s="109"/>
      <x:c r="L486" s="110"/>
      <x:c r="M486" s="109" t="str">
        <x:f>IF(OR(K486="",L486=""),"",K486*L486)</x:f>
      </x:c>
      <x:c r="N486" s="108" t="str">
        <x:f>IF(I486="","Single",IF(LEFT(I486,2)="2x","Double","Single"))</x:f>
        <x:v>Single</x:v>
      </x:c>
      <x:c r="O486" s="109" t="n">
        <x:f>IF(N486="","",IF(N486="Double",Summary!$B$37,Summary!$B$36))</x:f>
        <x:v>5</x:v>
      </x:c>
      <x:c r="P486" s="109" t="str">
        <x:f>IF(K486="","",K486+O486)</x:f>
      </x:c>
      <x:c r="Q486" s="111" t="str">
        <x:f>IF(P486="","",P486*Summary!$B$35)</x:f>
      </x:c>
      <x:c r="R486" s="112" t="n">
        <x:f>IF(N486="","",IF(N486="Double",Summary!$B$39,Summary!$B$38))</x:f>
        <x:v>1.6</x:v>
      </x:c>
      <x:c r="S486" s="113" t="str">
        <x:f>IF(Q486="","",Q486*R486)</x:f>
      </x:c>
    </x:row>
    <x:row r="487">
      <x:c r="A487" s="107"/>
      <x:c r="B487" s="108"/>
      <x:c r="C487" s="108"/>
      <x:c r="D487" s="108"/>
      <x:c r="E487" s="108"/>
      <x:c r="F487" s="108"/>
      <x:c r="G487" s="108"/>
      <x:c r="H487" s="108"/>
      <x:c r="I487" s="108"/>
      <x:c r="J487" s="108"/>
      <x:c r="K487" s="109"/>
      <x:c r="L487" s="110"/>
      <x:c r="M487" s="109" t="str">
        <x:f>IF(OR(K487="",L487=""),"",K487*L487)</x:f>
      </x:c>
      <x:c r="N487" s="108" t="str">
        <x:f>IF(I487="","Single",IF(LEFT(I487,2)="2x","Double","Single"))</x:f>
        <x:v>Single</x:v>
      </x:c>
      <x:c r="O487" s="109" t="n">
        <x:f>IF(N487="","",IF(N487="Double",Summary!$B$37,Summary!$B$36))</x:f>
        <x:v>5</x:v>
      </x:c>
      <x:c r="P487" s="109" t="str">
        <x:f>IF(K487="","",K487+O487)</x:f>
      </x:c>
      <x:c r="Q487" s="111" t="str">
        <x:f>IF(P487="","",P487*Summary!$B$35)</x:f>
      </x:c>
      <x:c r="R487" s="112" t="n">
        <x:f>IF(N487="","",IF(N487="Double",Summary!$B$39,Summary!$B$38))</x:f>
        <x:v>1.6</x:v>
      </x:c>
      <x:c r="S487" s="113" t="str">
        <x:f>IF(Q487="","",Q487*R487)</x:f>
      </x:c>
    </x:row>
    <x:row r="488">
      <x:c r="A488" s="107"/>
      <x:c r="B488" s="108"/>
      <x:c r="C488" s="108"/>
      <x:c r="D488" s="108"/>
      <x:c r="E488" s="108"/>
      <x:c r="F488" s="108"/>
      <x:c r="G488" s="108"/>
      <x:c r="H488" s="108"/>
      <x:c r="I488" s="108"/>
      <x:c r="J488" s="108"/>
      <x:c r="K488" s="109"/>
      <x:c r="L488" s="110"/>
      <x:c r="M488" s="109" t="str">
        <x:f>IF(OR(K488="",L488=""),"",K488*L488)</x:f>
      </x:c>
      <x:c r="N488" s="108" t="str">
        <x:f>IF(I488="","Single",IF(LEFT(I488,2)="2x","Double","Single"))</x:f>
        <x:v>Single</x:v>
      </x:c>
      <x:c r="O488" s="109" t="n">
        <x:f>IF(N488="","",IF(N488="Double",Summary!$B$37,Summary!$B$36))</x:f>
        <x:v>5</x:v>
      </x:c>
      <x:c r="P488" s="109" t="str">
        <x:f>IF(K488="","",K488+O488)</x:f>
      </x:c>
      <x:c r="Q488" s="111" t="str">
        <x:f>IF(P488="","",P488*Summary!$B$35)</x:f>
      </x:c>
      <x:c r="R488" s="112" t="n">
        <x:f>IF(N488="","",IF(N488="Double",Summary!$B$39,Summary!$B$38))</x:f>
        <x:v>1.6</x:v>
      </x:c>
      <x:c r="S488" s="113" t="str">
        <x:f>IF(Q488="","",Q488*R488)</x:f>
      </x:c>
    </x:row>
    <x:row r="489">
      <x:c r="A489" s="107"/>
      <x:c r="B489" s="108"/>
      <x:c r="C489" s="108"/>
      <x:c r="D489" s="108"/>
      <x:c r="E489" s="108"/>
      <x:c r="F489" s="108"/>
      <x:c r="G489" s="108"/>
      <x:c r="H489" s="108"/>
      <x:c r="I489" s="108"/>
      <x:c r="J489" s="108"/>
      <x:c r="K489" s="109"/>
      <x:c r="L489" s="110"/>
      <x:c r="M489" s="109" t="str">
        <x:f>IF(OR(K489="",L489=""),"",K489*L489)</x:f>
      </x:c>
      <x:c r="N489" s="108" t="str">
        <x:f>IF(I489="","Single",IF(LEFT(I489,2)="2x","Double","Single"))</x:f>
        <x:v>Single</x:v>
      </x:c>
      <x:c r="O489" s="109" t="n">
        <x:f>IF(N489="","",IF(N489="Double",Summary!$B$37,Summary!$B$36))</x:f>
        <x:v>5</x:v>
      </x:c>
      <x:c r="P489" s="109" t="str">
        <x:f>IF(K489="","",K489+O489)</x:f>
      </x:c>
      <x:c r="Q489" s="111" t="str">
        <x:f>IF(P489="","",P489*Summary!$B$35)</x:f>
      </x:c>
      <x:c r="R489" s="112" t="n">
        <x:f>IF(N489="","",IF(N489="Double",Summary!$B$39,Summary!$B$38))</x:f>
        <x:v>1.6</x:v>
      </x:c>
      <x:c r="S489" s="113" t="str">
        <x:f>IF(Q489="","",Q489*R489)</x:f>
      </x:c>
    </x:row>
    <x:row r="490">
      <x:c r="A490" s="107"/>
      <x:c r="B490" s="108"/>
      <x:c r="C490" s="108"/>
      <x:c r="D490" s="108"/>
      <x:c r="E490" s="108"/>
      <x:c r="F490" s="108"/>
      <x:c r="G490" s="108"/>
      <x:c r="H490" s="108"/>
      <x:c r="I490" s="108"/>
      <x:c r="J490" s="108"/>
      <x:c r="K490" s="109"/>
      <x:c r="L490" s="110"/>
      <x:c r="M490" s="109" t="str">
        <x:f>IF(OR(K490="",L490=""),"",K490*L490)</x:f>
      </x:c>
      <x:c r="N490" s="108" t="str">
        <x:f>IF(I490="","Single",IF(LEFT(I490,2)="2x","Double","Single"))</x:f>
        <x:v>Single</x:v>
      </x:c>
      <x:c r="O490" s="109" t="n">
        <x:f>IF(N490="","",IF(N490="Double",Summary!$B$37,Summary!$B$36))</x:f>
        <x:v>5</x:v>
      </x:c>
      <x:c r="P490" s="109" t="str">
        <x:f>IF(K490="","",K490+O490)</x:f>
      </x:c>
      <x:c r="Q490" s="111" t="str">
        <x:f>IF(P490="","",P490*Summary!$B$35)</x:f>
      </x:c>
      <x:c r="R490" s="112" t="n">
        <x:f>IF(N490="","",IF(N490="Double",Summary!$B$39,Summary!$B$38))</x:f>
        <x:v>1.6</x:v>
      </x:c>
      <x:c r="S490" s="113" t="str">
        <x:f>IF(Q490="","",Q490*R490)</x:f>
      </x:c>
    </x:row>
    <x:row r="491">
      <x:c r="A491" s="107"/>
      <x:c r="B491" s="108"/>
      <x:c r="C491" s="108"/>
      <x:c r="D491" s="108"/>
      <x:c r="E491" s="108"/>
      <x:c r="F491" s="108"/>
      <x:c r="G491" s="108"/>
      <x:c r="H491" s="108"/>
      <x:c r="I491" s="108"/>
      <x:c r="J491" s="108"/>
      <x:c r="K491" s="109"/>
      <x:c r="L491" s="110"/>
      <x:c r="M491" s="109" t="str">
        <x:f>IF(OR(K491="",L491=""),"",K491*L491)</x:f>
      </x:c>
      <x:c r="N491" s="108" t="str">
        <x:f>IF(I491="","Single",IF(LEFT(I491,2)="2x","Double","Single"))</x:f>
        <x:v>Single</x:v>
      </x:c>
      <x:c r="O491" s="109" t="n">
        <x:f>IF(N491="","",IF(N491="Double",Summary!$B$37,Summary!$B$36))</x:f>
        <x:v>5</x:v>
      </x:c>
      <x:c r="P491" s="109" t="str">
        <x:f>IF(K491="","",K491+O491)</x:f>
      </x:c>
      <x:c r="Q491" s="111" t="str">
        <x:f>IF(P491="","",P491*Summary!$B$35)</x:f>
      </x:c>
      <x:c r="R491" s="112" t="n">
        <x:f>IF(N491="","",IF(N491="Double",Summary!$B$39,Summary!$B$38))</x:f>
        <x:v>1.6</x:v>
      </x:c>
      <x:c r="S491" s="113" t="str">
        <x:f>IF(Q491="","",Q491*R491)</x:f>
      </x:c>
    </x:row>
    <x:row r="492">
      <x:c r="A492" s="107"/>
      <x:c r="B492" s="108"/>
      <x:c r="C492" s="108"/>
      <x:c r="D492" s="108"/>
      <x:c r="E492" s="108"/>
      <x:c r="F492" s="108"/>
      <x:c r="G492" s="108"/>
      <x:c r="H492" s="108"/>
      <x:c r="I492" s="108"/>
      <x:c r="J492" s="108"/>
      <x:c r="K492" s="109"/>
      <x:c r="L492" s="110"/>
      <x:c r="M492" s="109" t="str">
        <x:f>IF(OR(K492="",L492=""),"",K492*L492)</x:f>
      </x:c>
      <x:c r="N492" s="108" t="str">
        <x:f>IF(I492="","Single",IF(LEFT(I492,2)="2x","Double","Single"))</x:f>
        <x:v>Single</x:v>
      </x:c>
      <x:c r="O492" s="109" t="n">
        <x:f>IF(N492="","",IF(N492="Double",Summary!$B$37,Summary!$B$36))</x:f>
        <x:v>5</x:v>
      </x:c>
      <x:c r="P492" s="109" t="str">
        <x:f>IF(K492="","",K492+O492)</x:f>
      </x:c>
      <x:c r="Q492" s="111" t="str">
        <x:f>IF(P492="","",P492*Summary!$B$35)</x:f>
      </x:c>
      <x:c r="R492" s="112" t="n">
        <x:f>IF(N492="","",IF(N492="Double",Summary!$B$39,Summary!$B$38))</x:f>
        <x:v>1.6</x:v>
      </x:c>
      <x:c r="S492" s="113" t="str">
        <x:f>IF(Q492="","",Q492*R492)</x:f>
      </x:c>
    </x:row>
    <x:row r="493">
      <x:c r="A493" s="107"/>
      <x:c r="B493" s="108"/>
      <x:c r="C493" s="108"/>
      <x:c r="D493" s="108"/>
      <x:c r="E493" s="108"/>
      <x:c r="F493" s="108"/>
      <x:c r="G493" s="108"/>
      <x:c r="H493" s="108"/>
      <x:c r="I493" s="108"/>
      <x:c r="J493" s="108"/>
      <x:c r="K493" s="109"/>
      <x:c r="L493" s="110"/>
      <x:c r="M493" s="109" t="str">
        <x:f>IF(OR(K493="",L493=""),"",K493*L493)</x:f>
      </x:c>
      <x:c r="N493" s="108" t="str">
        <x:f>IF(I493="","Single",IF(LEFT(I493,2)="2x","Double","Single"))</x:f>
        <x:v>Single</x:v>
      </x:c>
      <x:c r="O493" s="109" t="n">
        <x:f>IF(N493="","",IF(N493="Double",Summary!$B$37,Summary!$B$36))</x:f>
        <x:v>5</x:v>
      </x:c>
      <x:c r="P493" s="109" t="str">
        <x:f>IF(K493="","",K493+O493)</x:f>
      </x:c>
      <x:c r="Q493" s="111" t="str">
        <x:f>IF(P493="","",P493*Summary!$B$35)</x:f>
      </x:c>
      <x:c r="R493" s="112" t="n">
        <x:f>IF(N493="","",IF(N493="Double",Summary!$B$39,Summary!$B$38))</x:f>
        <x:v>1.6</x:v>
      </x:c>
      <x:c r="S493" s="113" t="str">
        <x:f>IF(Q493="","",Q493*R493)</x:f>
      </x:c>
    </x:row>
    <x:row r="494">
      <x:c r="A494" s="107"/>
      <x:c r="B494" s="108"/>
      <x:c r="C494" s="108"/>
      <x:c r="D494" s="108"/>
      <x:c r="E494" s="108"/>
      <x:c r="F494" s="108"/>
      <x:c r="G494" s="108"/>
      <x:c r="H494" s="108"/>
      <x:c r="I494" s="108"/>
      <x:c r="J494" s="108"/>
      <x:c r="K494" s="109"/>
      <x:c r="L494" s="110"/>
      <x:c r="M494" s="109" t="str">
        <x:f>IF(OR(K494="",L494=""),"",K494*L494)</x:f>
      </x:c>
      <x:c r="N494" s="108" t="str">
        <x:f>IF(I494="","Single",IF(LEFT(I494,2)="2x","Double","Single"))</x:f>
        <x:v>Single</x:v>
      </x:c>
      <x:c r="O494" s="109" t="n">
        <x:f>IF(N494="","",IF(N494="Double",Summary!$B$37,Summary!$B$36))</x:f>
        <x:v>5</x:v>
      </x:c>
      <x:c r="P494" s="109" t="str">
        <x:f>IF(K494="","",K494+O494)</x:f>
      </x:c>
      <x:c r="Q494" s="111" t="str">
        <x:f>IF(P494="","",P494*Summary!$B$35)</x:f>
      </x:c>
      <x:c r="R494" s="112" t="n">
        <x:f>IF(N494="","",IF(N494="Double",Summary!$B$39,Summary!$B$38))</x:f>
        <x:v>1.6</x:v>
      </x:c>
      <x:c r="S494" s="113" t="str">
        <x:f>IF(Q494="","",Q494*R494)</x:f>
      </x:c>
    </x:row>
    <x:row r="495">
      <x:c r="A495" s="107"/>
      <x:c r="B495" s="108"/>
      <x:c r="C495" s="108"/>
      <x:c r="D495" s="108"/>
      <x:c r="E495" s="108"/>
      <x:c r="F495" s="108"/>
      <x:c r="G495" s="108"/>
      <x:c r="H495" s="108"/>
      <x:c r="I495" s="108"/>
      <x:c r="J495" s="108"/>
      <x:c r="K495" s="109"/>
      <x:c r="L495" s="110"/>
      <x:c r="M495" s="109" t="str">
        <x:f>IF(OR(K495="",L495=""),"",K495*L495)</x:f>
      </x:c>
      <x:c r="N495" s="108" t="str">
        <x:f>IF(I495="","Single",IF(LEFT(I495,2)="2x","Double","Single"))</x:f>
        <x:v>Single</x:v>
      </x:c>
      <x:c r="O495" s="109" t="n">
        <x:f>IF(N495="","",IF(N495="Double",Summary!$B$37,Summary!$B$36))</x:f>
        <x:v>5</x:v>
      </x:c>
      <x:c r="P495" s="109" t="str">
        <x:f>IF(K495="","",K495+O495)</x:f>
      </x:c>
      <x:c r="Q495" s="111" t="str">
        <x:f>IF(P495="","",P495*Summary!$B$35)</x:f>
      </x:c>
      <x:c r="R495" s="112" t="n">
        <x:f>IF(N495="","",IF(N495="Double",Summary!$B$39,Summary!$B$38))</x:f>
        <x:v>1.6</x:v>
      </x:c>
      <x:c r="S495" s="113" t="str">
        <x:f>IF(Q495="","",Q495*R495)</x:f>
      </x:c>
    </x:row>
    <x:row r="496">
      <x:c r="A496" s="107"/>
      <x:c r="B496" s="108"/>
      <x:c r="C496" s="108"/>
      <x:c r="D496" s="108"/>
      <x:c r="E496" s="108"/>
      <x:c r="F496" s="108"/>
      <x:c r="G496" s="108"/>
      <x:c r="H496" s="108"/>
      <x:c r="I496" s="108"/>
      <x:c r="J496" s="108"/>
      <x:c r="K496" s="109"/>
      <x:c r="L496" s="110"/>
      <x:c r="M496" s="109" t="str">
        <x:f>IF(OR(K496="",L496=""),"",K496*L496)</x:f>
      </x:c>
      <x:c r="N496" s="108" t="str">
        <x:f>IF(I496="","Single",IF(LEFT(I496,2)="2x","Double","Single"))</x:f>
        <x:v>Single</x:v>
      </x:c>
      <x:c r="O496" s="109" t="n">
        <x:f>IF(N496="","",IF(N496="Double",Summary!$B$37,Summary!$B$36))</x:f>
        <x:v>5</x:v>
      </x:c>
      <x:c r="P496" s="109" t="str">
        <x:f>IF(K496="","",K496+O496)</x:f>
      </x:c>
      <x:c r="Q496" s="111" t="str">
        <x:f>IF(P496="","",P496*Summary!$B$35)</x:f>
      </x:c>
      <x:c r="R496" s="112" t="n">
        <x:f>IF(N496="","",IF(N496="Double",Summary!$B$39,Summary!$B$38))</x:f>
        <x:v>1.6</x:v>
      </x:c>
      <x:c r="S496" s="113" t="str">
        <x:f>IF(Q496="","",Q496*R496)</x:f>
      </x:c>
    </x:row>
    <x:row r="497">
      <x:c r="A497" s="107"/>
      <x:c r="B497" s="108"/>
      <x:c r="C497" s="108"/>
      <x:c r="D497" s="108"/>
      <x:c r="E497" s="108"/>
      <x:c r="F497" s="108"/>
      <x:c r="G497" s="108"/>
      <x:c r="H497" s="108"/>
      <x:c r="I497" s="108"/>
      <x:c r="J497" s="108"/>
      <x:c r="K497" s="109"/>
      <x:c r="L497" s="110"/>
      <x:c r="M497" s="109" t="str">
        <x:f>IF(OR(K497="",L497=""),"",K497*L497)</x:f>
      </x:c>
      <x:c r="N497" s="108" t="str">
        <x:f>IF(I497="","Single",IF(LEFT(I497,2)="2x","Double","Single"))</x:f>
        <x:v>Single</x:v>
      </x:c>
      <x:c r="O497" s="109" t="n">
        <x:f>IF(N497="","",IF(N497="Double",Summary!$B$37,Summary!$B$36))</x:f>
        <x:v>5</x:v>
      </x:c>
      <x:c r="P497" s="109" t="str">
        <x:f>IF(K497="","",K497+O497)</x:f>
      </x:c>
      <x:c r="Q497" s="111" t="str">
        <x:f>IF(P497="","",P497*Summary!$B$35)</x:f>
      </x:c>
      <x:c r="R497" s="112" t="n">
        <x:f>IF(N497="","",IF(N497="Double",Summary!$B$39,Summary!$B$38))</x:f>
        <x:v>1.6</x:v>
      </x:c>
      <x:c r="S497" s="113" t="str">
        <x:f>IF(Q497="","",Q497*R497)</x:f>
      </x:c>
    </x:row>
    <x:row r="498">
      <x:c r="A498" s="107"/>
      <x:c r="B498" s="108"/>
      <x:c r="C498" s="108"/>
      <x:c r="D498" s="108"/>
      <x:c r="E498" s="108"/>
      <x:c r="F498" s="108"/>
      <x:c r="G498" s="108"/>
      <x:c r="H498" s="108"/>
      <x:c r="I498" s="108"/>
      <x:c r="J498" s="108"/>
      <x:c r="K498" s="109"/>
      <x:c r="L498" s="110"/>
      <x:c r="M498" s="109" t="str">
        <x:f>IF(OR(K498="",L498=""),"",K498*L498)</x:f>
      </x:c>
      <x:c r="N498" s="108" t="str">
        <x:f>IF(I498="","Single",IF(LEFT(I498,2)="2x","Double","Single"))</x:f>
        <x:v>Single</x:v>
      </x:c>
      <x:c r="O498" s="109" t="n">
        <x:f>IF(N498="","",IF(N498="Double",Summary!$B$37,Summary!$B$36))</x:f>
        <x:v>5</x:v>
      </x:c>
      <x:c r="P498" s="109" t="str">
        <x:f>IF(K498="","",K498+O498)</x:f>
      </x:c>
      <x:c r="Q498" s="111" t="str">
        <x:f>IF(P498="","",P498*Summary!$B$35)</x:f>
      </x:c>
      <x:c r="R498" s="112" t="n">
        <x:f>IF(N498="","",IF(N498="Double",Summary!$B$39,Summary!$B$38))</x:f>
        <x:v>1.6</x:v>
      </x:c>
      <x:c r="S498" s="113" t="str">
        <x:f>IF(Q498="","",Q498*R498)</x:f>
      </x:c>
    </x:row>
    <x:row r="499">
      <x:c r="A499" s="107"/>
      <x:c r="B499" s="108"/>
      <x:c r="C499" s="108"/>
      <x:c r="D499" s="108"/>
      <x:c r="E499" s="108"/>
      <x:c r="F499" s="108"/>
      <x:c r="G499" s="108"/>
      <x:c r="H499" s="108"/>
      <x:c r="I499" s="108"/>
      <x:c r="J499" s="108"/>
      <x:c r="K499" s="109"/>
      <x:c r="L499" s="110"/>
      <x:c r="M499" s="109" t="str">
        <x:f>IF(OR(K499="",L499=""),"",K499*L499)</x:f>
      </x:c>
      <x:c r="N499" s="108" t="str">
        <x:f>IF(I499="","Single",IF(LEFT(I499,2)="2x","Double","Single"))</x:f>
        <x:v>Single</x:v>
      </x:c>
      <x:c r="O499" s="109" t="n">
        <x:f>IF(N499="","",IF(N499="Double",Summary!$B$37,Summary!$B$36))</x:f>
        <x:v>5</x:v>
      </x:c>
      <x:c r="P499" s="109" t="str">
        <x:f>IF(K499="","",K499+O499)</x:f>
      </x:c>
      <x:c r="Q499" s="111" t="str">
        <x:f>IF(P499="","",P499*Summary!$B$35)</x:f>
      </x:c>
      <x:c r="R499" s="112" t="n">
        <x:f>IF(N499="","",IF(N499="Double",Summary!$B$39,Summary!$B$38))</x:f>
        <x:v>1.6</x:v>
      </x:c>
      <x:c r="S499" s="113" t="str">
        <x:f>IF(Q499="","",Q499*R499)</x:f>
      </x:c>
    </x:row>
    <x:row r="500">
      <x:c r="A500" s="107"/>
      <x:c r="B500" s="108"/>
      <x:c r="C500" s="108"/>
      <x:c r="D500" s="108"/>
      <x:c r="E500" s="108"/>
      <x:c r="F500" s="108"/>
      <x:c r="G500" s="108"/>
      <x:c r="H500" s="108"/>
      <x:c r="I500" s="108"/>
      <x:c r="J500" s="108"/>
      <x:c r="K500" s="109"/>
      <x:c r="L500" s="110"/>
      <x:c r="M500" s="109" t="str">
        <x:f>IF(OR(K500="",L500=""),"",K500*L500)</x:f>
      </x:c>
      <x:c r="N500" s="108" t="str">
        <x:f>IF(I500="","Single",IF(LEFT(I500,2)="2x","Double","Single"))</x:f>
        <x:v>Single</x:v>
      </x:c>
      <x:c r="O500" s="109" t="n">
        <x:f>IF(N500="","",IF(N500="Double",Summary!$B$37,Summary!$B$36))</x:f>
        <x:v>5</x:v>
      </x:c>
      <x:c r="P500" s="109" t="str">
        <x:f>IF(K500="","",K500+O500)</x:f>
      </x:c>
      <x:c r="Q500" s="111" t="str">
        <x:f>IF(P500="","",P500*Summary!$B$35)</x:f>
      </x:c>
      <x:c r="R500" s="112" t="n">
        <x:f>IF(N500="","",IF(N500="Double",Summary!$B$39,Summary!$B$38))</x:f>
        <x:v>1.6</x:v>
      </x:c>
      <x:c r="S500" s="113" t="str">
        <x:f>IF(Q500="","",Q500*R500)</x:f>
      </x:c>
    </x:row>
    <x:row r="501">
      <x:c r="A501" s="114"/>
      <x:c r="B501" s="115"/>
      <x:c r="C501" s="115"/>
      <x:c r="D501" s="115"/>
      <x:c r="E501" s="115"/>
      <x:c r="F501" s="115"/>
      <x:c r="G501" s="115"/>
      <x:c r="H501" s="115"/>
      <x:c r="I501" s="115"/>
      <x:c r="J501" s="115"/>
      <x:c r="K501" s="116"/>
      <x:c r="L501" s="117"/>
      <x:c r="M501" s="116" t="str">
        <x:f>IF(OR(K501="",L501=""),"",K501*L501)</x:f>
      </x:c>
      <x:c r="N501" s="115" t="str">
        <x:f>IF(I501="","Single",IF(LEFT(I501,2)="2x","Double","Single"))</x:f>
        <x:v>Single</x:v>
      </x:c>
      <x:c r="O501" s="116" t="n">
        <x:f>IF(N501="","",IF(N501="Double",Summary!$B$37,Summary!$B$36))</x:f>
        <x:v>5</x:v>
      </x:c>
      <x:c r="P501" s="116" t="str">
        <x:f>IF(K501="","",K501+O501)</x:f>
      </x:c>
      <x:c r="Q501" s="118" t="str">
        <x:f>IF(P501="","",P501*Summary!$B$35)</x:f>
      </x:c>
      <x:c r="R501" s="119" t="n">
        <x:f>IF(N501="","",IF(N501="Double",Summary!$B$39,Summary!$B$38))</x:f>
        <x:v>1.6</x:v>
      </x:c>
      <x:c r="S501" s="120" t="str">
        <x:f>IF(Q501="","",Q501*R501)</x:f>
      </x:c>
    </x:row>
  </x:sheetData>
  <x:conditionalFormatting sqref="N2:N501">
    <x:cfRule type="expression" dxfId="0" priority="1">
      <x:formula>N2="Double"</x:formula>
    </x:cfRule>
  </x:conditionalFormatting>
  <x:conditionalFormatting sqref="S2:S501">
    <x:cfRule type="dataBar" priority="2">
      <x:dataBar>
        <x:cfvo type="min"/>
        <x:cfvo type="max"/>
        <x:color rgb="9CA3AF"/>
      </x:dataBar>
      <x:extLst>
        <x:ext xmlns:x14="http://schemas.microsoft.com/office/spreadsheetml/2009/9/main" uri="{B025F937-C7B1-47D3-B67F-A62EFF666E3E}">
          <x14:id>{840693D5-324D-4986-EF97-E4DD143DBBB2}</x14:id>
        </x:ext>
      </x:extLst>
    </x:cfRule>
  </x:conditionalFormatting>
  <x:dataValidations count="1">
    <x:dataValidation type="list" sqref="F2:F501">
      <x:formula1>"Imported,Reserved,Sold,Returned,Damaged"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87eb4e4ad54b8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840693D5-324D-4986-EF97-E4DD143DBBB2}">
            <x14:dataBar gradient="1">
              <x14:cfvo type="min"/>
              <x14:cfvo type="max"/>
              <x14:fillColor rgb="9CA3AF"/>
            </x14:dataBar>
          </x14:cfRule>
          <xm:sqref>S2:S501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34" hidden="0" customWidth="1"/>
    <x:col min="4" max="4" width="12" hidden="0" customWidth="1"/>
  </x:cols>
  <x:sheetData>
    <x:row r="1" ht="30" customHeight="1">
      <x:c r="A1" s="66" t="str">
        <x:v>Sonograma Stock Control Template</x:v>
      </x:c>
      <x:c r="B1" s="67"/>
      <x:c r="C1" s="67"/>
      <x:c r="D1" s="67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9"/>
    </x:row>
    <x:row r="2">
      <x:c r="A2" s="70"/>
      <x:c r="B2" s="71"/>
      <x:c r="C2" s="71"/>
      <x:c r="D2" s="71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3"/>
    </x:row>
    <x:row r="3">
      <x:c r="A3" s="74" t="str">
        <x:v>Invoice metadata</x:v>
      </x:c>
      <x:c r="B3" s="75" t="str"/>
      <x:c r="C3" s="75" t="str"/>
      <x:c r="D3" s="75" t="str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3"/>
    </x:row>
    <x:row r="4">
      <x:c r="A4" s="76" t="str">
        <x:v>Invoice Number</x:v>
      </x:c>
      <x:c r="B4" s="77" t="str"/>
      <x:c r="C4" s="71" t="str"/>
      <x:c r="D4" s="71" t="str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3"/>
    </x:row>
    <x:row r="5">
      <x:c r="A5" s="76" t="str">
        <x:v>Invoice Date</x:v>
      </x:c>
      <x:c r="B5" s="77" t="str"/>
      <x:c r="C5" s="71" t="str"/>
      <x:c r="D5" s="71" t="str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3"/>
    </x:row>
    <x:row r="6">
      <x:c r="A6" s="76" t="str">
        <x:v>Supplier</x:v>
      </x:c>
      <x:c r="B6" s="77" t="str"/>
      <x:c r="C6" s="71" t="str"/>
      <x:c r="D6" s="71" t="str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3"/>
    </x:row>
    <x:row r="7">
      <x:c r="A7" s="76" t="str">
        <x:v>Shipping</x:v>
      </x:c>
      <x:c r="B7" s="77" t="str"/>
      <x:c r="C7" s="71" t="str"/>
      <x:c r="D7" s="71" t="str"/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3"/>
    </x:row>
    <x:row r="8">
      <x:c r="A8" s="76" t="str">
        <x:v>Payment</x:v>
      </x:c>
      <x:c r="B8" s="77" t="str"/>
      <x:c r="C8" s="71" t="str"/>
      <x:c r="D8" s="71" t="str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3"/>
    </x:row>
    <x:row r="9">
      <x:c r="A9" s="76" t="str">
        <x:v>Unit (Weight)</x:v>
      </x:c>
      <x:c r="B9" s="77" t="str"/>
      <x:c r="C9" s="71" t="str"/>
      <x:c r="D9" s="71" t="str"/>
      <x:c r="E9" s="72"/>
      <x:c r="F9" s="72"/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3"/>
    </x:row>
    <x:row r="10">
      <x:c r="A10" s="76" t="str">
        <x:v>Currency</x:v>
      </x:c>
      <x:c r="B10" s="77" t="str">
        <x:v>EUR</x:v>
      </x:c>
      <x:c r="C10" s="71" t="str"/>
      <x:c r="D10" s="71" t="str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3"/>
    </x:row>
    <x:row r="11">
      <x:c r="A11" s="76" t="str">
        <x:v>Incoterms</x:v>
      </x:c>
      <x:c r="B11" s="77" t="str"/>
      <x:c r="C11" s="71" t="str"/>
      <x:c r="D11" s="71" t="str"/>
      <x:c r="E11" s="72"/>
      <x:c r="F11" s="72"/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3"/>
    </x:row>
    <x:row r="12">
      <x:c r="A12" s="76" t="str">
        <x:v>Total Weight</x:v>
      </x:c>
      <x:c r="B12" s="77" t="str"/>
      <x:c r="C12" s="71" t="str"/>
      <x:c r="D12" s="71" t="str"/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3"/>
    </x:row>
    <x:row r="13">
      <x:c r="A13" s="76" t="str">
        <x:v>Customs</x:v>
      </x:c>
      <x:c r="B13" s="77" t="str"/>
      <x:c r="C13" s="71" t="str"/>
      <x:c r="D13" s="71" t="str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3"/>
    </x:row>
    <x:row r="14">
      <x:c r="A14" s="76" t="str">
        <x:v>EORI</x:v>
      </x:c>
      <x:c r="B14" s="77" t="str"/>
      <x:c r="C14" s="71" t="str"/>
      <x:c r="D14" s="71" t="str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3"/>
    </x:row>
    <x:row r="15">
      <x:c r="A15" s="76" t="str">
        <x:v>PDF File</x:v>
      </x:c>
      <x:c r="B15" s="77" t="str"/>
      <x:c r="C15" s="71" t="str"/>
      <x:c r="D15" s="71" t="str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3"/>
    </x:row>
    <x:row r="16">
      <x:c r="A16" s="70"/>
      <x:c r="B16" s="71"/>
      <x:c r="C16" s="71"/>
      <x:c r="D16" s="71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3"/>
    </x:row>
    <x:row r="17">
      <x:c r="A17" s="70"/>
      <x:c r="B17" s="71"/>
      <x:c r="C17" s="71"/>
      <x:c r="D17" s="71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3"/>
    </x:row>
    <x:row r="18">
      <x:c r="A18" s="70"/>
      <x:c r="B18" s="71"/>
      <x:c r="C18" s="71"/>
      <x:c r="D18" s="71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3"/>
    </x:row>
    <x:row r="19">
      <x:c r="A19" s="70"/>
      <x:c r="B19" s="71"/>
      <x:c r="C19" s="71"/>
      <x:c r="D19" s="71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3"/>
    </x:row>
    <x:row r="20">
      <x:c r="A20" s="74" t="str">
        <x:v>Invoice totals</x:v>
      </x:c>
      <x:c r="B20" s="75" t="str"/>
      <x:c r="C20" s="75" t="str"/>
      <x:c r="D20" s="75" t="str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3"/>
    </x:row>
    <x:row r="21">
      <x:c r="A21" s="76" t="str">
        <x:v>Merchandise Total (EUR)</x:v>
      </x:c>
      <x:c r="B21" s="78" t="n">
        <x:f>SUM(Items!M:M)</x:f>
        <x:v>0</x:v>
      </x:c>
      <x:c r="C21" s="71" t="str">
        <x:v>Formula: SUM(Items!M:M)</x:v>
      </x:c>
      <x:c r="D21" s="71" t="str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3"/>
    </x:row>
    <x:row r="22">
      <x:c r="A22" s="76" t="str">
        <x:v>Quantity Check</x:v>
      </x:c>
      <x:c r="B22" s="79" t="n">
        <x:f>SUM(Items!L:L)</x:f>
        <x:v>0</x:v>
      </x:c>
      <x:c r="C22" s="71" t="str">
        <x:v>Formula: SUM(Items!L:L)</x:v>
      </x:c>
      <x:c r="D22" s="71" t="str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3"/>
    </x:row>
    <x:row r="23">
      <x:c r="A23" s="76" t="str">
        <x:v>Postage (EUR)</x:v>
      </x:c>
      <x:c r="B23" s="78" t="str"/>
      <x:c r="C23" s="71" t="str"/>
      <x:c r="D23" s="71" t="str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3"/>
    </x:row>
    <x:row r="24">
      <x:c r="A24" s="76" t="str">
        <x:v>Fees (EUR)</x:v>
      </x:c>
      <x:c r="B24" s="78" t="str"/>
      <x:c r="C24" s="71" t="str"/>
      <x:c r="D24" s="71" t="str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3"/>
    </x:row>
    <x:row r="25">
      <x:c r="A25" s="76" t="str">
        <x:v>Net (EUR)</x:v>
      </x:c>
      <x:c r="B25" s="78" t="str"/>
      <x:c r="C25" s="71" t="str"/>
      <x:c r="D25" s="71" t="str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3"/>
    </x:row>
    <x:row r="26">
      <x:c r="A26" s="76" t="str">
        <x:v>Invoice Total (EUR)</x:v>
      </x:c>
      <x:c r="B26" s="78" t="n">
        <x:f>B21+B23+B24</x:f>
        <x:v>0</x:v>
      </x:c>
      <x:c r="C26" s="71" t="str">
        <x:v>Formula: Merchandise + Postage + Fees</x:v>
      </x:c>
      <x:c r="D26" s="71" t="str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3"/>
    </x:row>
    <x:row r="27">
      <x:c r="A27" s="70"/>
      <x:c r="B27" s="71"/>
      <x:c r="C27" s="71"/>
      <x:c r="D27" s="71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3"/>
    </x:row>
    <x:row r="28">
      <x:c r="A28" s="70"/>
      <x:c r="B28" s="71"/>
      <x:c r="C28" s="71"/>
      <x:c r="D28" s="71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3"/>
    </x:row>
    <x:row r="29">
      <x:c r="A29" s="70"/>
      <x:c r="B29" s="71"/>
      <x:c r="C29" s="71"/>
      <x:c r="D29" s="71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3"/>
    </x:row>
    <x:row r="30">
      <x:c r="A30" s="70"/>
      <x:c r="B30" s="71"/>
      <x:c r="C30" s="71"/>
      <x:c r="D30" s="71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3"/>
    </x:row>
    <x:row r="31">
      <x:c r="A31" s="70"/>
      <x:c r="B31" s="71"/>
      <x:c r="C31" s="71"/>
      <x:c r="D31" s="71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3"/>
    </x:row>
    <x:row r="32">
      <x:c r="A32" s="70"/>
      <x:c r="B32" s="71"/>
      <x:c r="C32" s="71"/>
      <x:c r="D32" s="71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3"/>
    </x:row>
    <x:row r="33">
      <x:c r="A33" s="70"/>
      <x:c r="B33" s="71"/>
      <x:c r="C33" s="71"/>
      <x:c r="D33" s="71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3"/>
    </x:row>
    <x:row r="34">
      <x:c r="A34" s="74" t="str">
        <x:v>Assumptions</x:v>
      </x:c>
      <x:c r="B34" s="75" t="str"/>
      <x:c r="C34" s="75" t="str"/>
      <x:c r="D34" s="75" t="str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3"/>
    </x:row>
    <x:row r="35">
      <x:c r="A35" s="76" t="str">
        <x:v>EUR to UYU</x:v>
      </x:c>
      <x:c r="B35" s="80" t="n">
        <x:v>49</x:v>
      </x:c>
      <x:c r="C35" s="71" t="str"/>
      <x:c r="D35" s="71" t="str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3"/>
    </x:row>
    <x:row r="36">
      <x:c r="A36" s="76" t="str">
        <x:v>Single Extra Cost EUR</x:v>
      </x:c>
      <x:c r="B36" s="80" t="n">
        <x:v>5</x:v>
      </x:c>
      <x:c r="C36" s="71" t="str"/>
      <x:c r="D36" s="71" t="str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3"/>
    </x:row>
    <x:row r="37">
      <x:c r="A37" s="76" t="str">
        <x:v>Double Extra Cost EUR</x:v>
      </x:c>
      <x:c r="B37" s="80" t="n">
        <x:v>8</x:v>
      </x:c>
      <x:c r="C37" s="71" t="str"/>
      <x:c r="D37" s="71" t="str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3"/>
    </x:row>
    <x:row r="38">
      <x:c r="A38" s="76" t="str">
        <x:v>Single Markup</x:v>
      </x:c>
      <x:c r="B38" s="80" t="n">
        <x:v>1.6</x:v>
      </x:c>
      <x:c r="C38" s="71" t="str"/>
      <x:c r="D38" s="71" t="str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3"/>
    </x:row>
    <x:row r="39">
      <x:c r="A39" s="76" t="str">
        <x:v>Double Markup</x:v>
      </x:c>
      <x:c r="B39" s="80" t="n">
        <x:v>1.4</x:v>
      </x:c>
      <x:c r="C39" s="71" t="str"/>
      <x:c r="D39" s="71" t="str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3"/>
    </x:row>
    <x:row r="40">
      <x:c r="A40" s="70"/>
      <x:c r="B40" s="71"/>
      <x:c r="C40" s="71"/>
      <x:c r="D40" s="71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3"/>
    </x:row>
    <x:row r="41">
      <x:c r="A41" s="81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3"/>
    </x:row>
    <x:row r="42">
      <x:c r="A42" s="81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3"/>
    </x:row>
    <x:row r="43">
      <x:c r="A43" s="81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3"/>
    </x:row>
    <x:row r="44">
      <x:c r="A44" s="81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3"/>
    </x:row>
    <x:row r="45">
      <x:c r="A45" s="81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3"/>
    </x:row>
    <x:row r="46">
      <x:c r="A46" s="81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3"/>
    </x:row>
    <x:row r="47">
      <x:c r="A47" s="81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3"/>
    </x:row>
    <x:row r="48">
      <x:c r="A48" s="81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3"/>
    </x:row>
    <x:row r="49">
      <x:c r="A49" s="81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3"/>
    </x:row>
    <x:row r="50">
      <x:c r="A50" s="81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3"/>
    </x:row>
    <x:row r="51">
      <x:c r="A51" s="81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3"/>
    </x:row>
    <x:row r="52">
      <x:c r="A52" s="81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3"/>
    </x:row>
    <x:row r="53">
      <x:c r="A53" s="81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3"/>
    </x:row>
    <x:row r="54">
      <x:c r="A54" s="81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3"/>
    </x:row>
    <x:row r="55">
      <x:c r="A55" s="81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3"/>
    </x:row>
    <x:row r="56">
      <x:c r="A56" s="81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3"/>
    </x:row>
    <x:row r="57">
      <x:c r="A57" s="81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3"/>
    </x:row>
    <x:row r="58">
      <x:c r="A58" s="81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3"/>
    </x:row>
    <x:row r="59">
      <x:c r="A59" s="81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3"/>
    </x:row>
    <x:row r="60">
      <x:c r="A60" s="81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3"/>
    </x:row>
    <x:row r="61">
      <x:c r="A61" s="81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3"/>
    </x:row>
    <x:row r="62">
      <x:c r="A62" s="81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3"/>
    </x:row>
    <x:row r="63">
      <x:c r="A63" s="81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3"/>
    </x:row>
    <x:row r="64">
      <x:c r="A64" s="81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3"/>
    </x:row>
    <x:row r="65">
      <x:c r="A65" s="81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3"/>
    </x:row>
    <x:row r="66">
      <x:c r="A66" s="81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3"/>
    </x:row>
    <x:row r="67">
      <x:c r="A67" s="81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3"/>
    </x:row>
    <x:row r="68">
      <x:c r="A68" s="81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3"/>
    </x:row>
    <x:row r="69">
      <x:c r="A69" s="81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3"/>
    </x:row>
    <x:row r="70">
      <x:c r="A70" s="81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3"/>
    </x:row>
    <x:row r="71">
      <x:c r="A71" s="81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3"/>
    </x:row>
    <x:row r="72">
      <x:c r="A72" s="81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3"/>
    </x:row>
    <x:row r="73">
      <x:c r="A73" s="81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3"/>
    </x:row>
    <x:row r="74">
      <x:c r="A74" s="81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3"/>
    </x:row>
    <x:row r="75">
      <x:c r="A75" s="81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3"/>
    </x:row>
    <x:row r="76">
      <x:c r="A76" s="81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3"/>
    </x:row>
    <x:row r="77">
      <x:c r="A77" s="81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3"/>
    </x:row>
    <x:row r="78">
      <x:c r="A78" s="81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3"/>
    </x:row>
    <x:row r="79">
      <x:c r="A79" s="81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3"/>
    </x:row>
    <x:row r="80">
      <x:c r="A80" s="81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3"/>
    </x:row>
    <x:row r="81">
      <x:c r="A81" s="81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3"/>
    </x:row>
    <x:row r="82">
      <x:c r="A82" s="81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3"/>
    </x:row>
    <x:row r="83">
      <x:c r="A83" s="81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3"/>
    </x:row>
    <x:row r="84">
      <x:c r="A84" s="81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3"/>
    </x:row>
    <x:row r="85">
      <x:c r="A85" s="81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3"/>
    </x:row>
    <x:row r="86">
      <x:c r="A86" s="81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3"/>
    </x:row>
    <x:row r="87">
      <x:c r="A87" s="81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3"/>
    </x:row>
    <x:row r="88">
      <x:c r="A88" s="81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3"/>
    </x:row>
    <x:row r="89">
      <x:c r="A89" s="81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3"/>
    </x:row>
    <x:row r="90">
      <x:c r="A90" s="81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3"/>
    </x:row>
    <x:row r="91">
      <x:c r="A91" s="81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3"/>
    </x:row>
    <x:row r="92">
      <x:c r="A92" s="81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3"/>
    </x:row>
    <x:row r="93">
      <x:c r="A93" s="81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3"/>
    </x:row>
    <x:row r="94">
      <x:c r="A94" s="81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3"/>
    </x:row>
    <x:row r="95">
      <x:c r="A95" s="81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3"/>
    </x:row>
    <x:row r="96">
      <x:c r="A96" s="81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3"/>
    </x:row>
    <x:row r="97">
      <x:c r="A97" s="81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3"/>
    </x:row>
    <x:row r="98">
      <x:c r="A98" s="81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3"/>
    </x:row>
    <x:row r="99">
      <x:c r="A99" s="81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3"/>
    </x:row>
    <x:row r="100">
      <x:c r="A100" s="81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3"/>
    </x:row>
    <x:row r="101">
      <x:c r="A101" s="81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3"/>
    </x:row>
    <x:row r="102">
      <x:c r="A102" s="81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3"/>
    </x:row>
    <x:row r="103">
      <x:c r="A103" s="81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3"/>
    </x:row>
    <x:row r="104">
      <x:c r="A104" s="81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3"/>
    </x:row>
    <x:row r="105">
      <x:c r="A105" s="81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3"/>
    </x:row>
    <x:row r="106">
      <x:c r="A106" s="81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3"/>
    </x:row>
    <x:row r="107">
      <x:c r="A107" s="81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3"/>
    </x:row>
    <x:row r="108">
      <x:c r="A108" s="81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3"/>
    </x:row>
    <x:row r="109">
      <x:c r="A109" s="81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3"/>
    </x:row>
    <x:row r="110">
      <x:c r="A110" s="81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3"/>
    </x:row>
    <x:row r="111">
      <x:c r="A111" s="81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3"/>
    </x:row>
    <x:row r="112">
      <x:c r="A112" s="81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3"/>
    </x:row>
    <x:row r="113">
      <x:c r="A113" s="81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3"/>
    </x:row>
    <x:row r="114">
      <x:c r="A114" s="81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3"/>
    </x:row>
    <x:row r="115">
      <x:c r="A115" s="81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3"/>
    </x:row>
    <x:row r="116">
      <x:c r="A116" s="81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3"/>
    </x:row>
    <x:row r="117">
      <x:c r="A117" s="81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3"/>
    </x:row>
    <x:row r="118">
      <x:c r="A118" s="81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3"/>
    </x:row>
    <x:row r="119">
      <x:c r="A119" s="81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3"/>
    </x:row>
    <x:row r="120">
      <x:c r="A120" s="81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3"/>
    </x:row>
    <x:row r="121">
      <x:c r="A121" s="81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3"/>
    </x:row>
    <x:row r="122">
      <x:c r="A122" s="81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3"/>
    </x:row>
    <x:row r="123">
      <x:c r="A123" s="81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3"/>
    </x:row>
    <x:row r="124">
      <x:c r="A124" s="81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3"/>
    </x:row>
    <x:row r="125">
      <x:c r="A125" s="81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3"/>
    </x:row>
    <x:row r="126">
      <x:c r="A126" s="81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3"/>
    </x:row>
    <x:row r="127">
      <x:c r="A127" s="81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3"/>
    </x:row>
    <x:row r="128">
      <x:c r="A128" s="81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3"/>
    </x:row>
    <x:row r="129">
      <x:c r="A129" s="81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3"/>
    </x:row>
    <x:row r="130">
      <x:c r="A130" s="81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3"/>
    </x:row>
    <x:row r="131">
      <x:c r="A131" s="81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3"/>
    </x:row>
    <x:row r="132">
      <x:c r="A132" s="81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3"/>
    </x:row>
    <x:row r="133">
      <x:c r="A133" s="81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3"/>
    </x:row>
    <x:row r="134">
      <x:c r="A134" s="81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3"/>
    </x:row>
    <x:row r="135">
      <x:c r="A135" s="81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3"/>
    </x:row>
    <x:row r="136">
      <x:c r="A136" s="81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3"/>
    </x:row>
    <x:row r="137">
      <x:c r="A137" s="81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3"/>
    </x:row>
    <x:row r="138">
      <x:c r="A138" s="81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3"/>
    </x:row>
    <x:row r="139">
      <x:c r="A139" s="81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3"/>
    </x:row>
    <x:row r="140">
      <x:c r="A140" s="81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3"/>
    </x:row>
    <x:row r="141">
      <x:c r="A141" s="81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3"/>
    </x:row>
    <x:row r="142">
      <x:c r="A142" s="81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3"/>
    </x:row>
    <x:row r="143">
      <x:c r="A143" s="81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3"/>
    </x:row>
    <x:row r="144">
      <x:c r="A144" s="81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3"/>
    </x:row>
    <x:row r="145">
      <x:c r="A145" s="81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3"/>
    </x:row>
    <x:row r="146">
      <x:c r="A146" s="81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3"/>
    </x:row>
    <x:row r="147">
      <x:c r="A147" s="81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3"/>
    </x:row>
    <x:row r="148">
      <x:c r="A148" s="81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3"/>
    </x:row>
    <x:row r="149">
      <x:c r="A149" s="81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3"/>
    </x:row>
    <x:row r="150">
      <x:c r="A150" s="81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3"/>
    </x:row>
    <x:row r="151">
      <x:c r="A151" s="81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3"/>
    </x:row>
    <x:row r="152">
      <x:c r="A152" s="81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3"/>
    </x:row>
    <x:row r="153">
      <x:c r="A153" s="81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3"/>
    </x:row>
    <x:row r="154">
      <x:c r="A154" s="81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3"/>
    </x:row>
    <x:row r="155">
      <x:c r="A155" s="81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3"/>
    </x:row>
    <x:row r="156">
      <x:c r="A156" s="81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3"/>
    </x:row>
    <x:row r="157">
      <x:c r="A157" s="81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3"/>
    </x:row>
    <x:row r="158">
      <x:c r="A158" s="81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3"/>
    </x:row>
    <x:row r="159">
      <x:c r="A159" s="81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3"/>
    </x:row>
    <x:row r="160">
      <x:c r="A160" s="81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3"/>
    </x:row>
    <x:row r="161">
      <x:c r="A161" s="81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3"/>
    </x:row>
    <x:row r="162">
      <x:c r="A162" s="81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3"/>
    </x:row>
    <x:row r="163">
      <x:c r="A163" s="81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3"/>
    </x:row>
    <x:row r="164">
      <x:c r="A164" s="81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3"/>
    </x:row>
    <x:row r="165">
      <x:c r="A165" s="81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3"/>
    </x:row>
    <x:row r="166">
      <x:c r="A166" s="81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3"/>
    </x:row>
    <x:row r="167">
      <x:c r="A167" s="81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3"/>
    </x:row>
    <x:row r="168">
      <x:c r="A168" s="81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3"/>
    </x:row>
    <x:row r="169">
      <x:c r="A169" s="81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3"/>
    </x:row>
    <x:row r="170">
      <x:c r="A170" s="81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3"/>
    </x:row>
    <x:row r="171">
      <x:c r="A171" s="81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3"/>
    </x:row>
    <x:row r="172">
      <x:c r="A172" s="81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3"/>
    </x:row>
    <x:row r="173">
      <x:c r="A173" s="81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3"/>
    </x:row>
    <x:row r="174">
      <x:c r="A174" s="81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3"/>
    </x:row>
    <x:row r="175">
      <x:c r="A175" s="81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3"/>
    </x:row>
    <x:row r="176">
      <x:c r="A176" s="81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3"/>
    </x:row>
    <x:row r="177">
      <x:c r="A177" s="81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3"/>
    </x:row>
    <x:row r="178">
      <x:c r="A178" s="81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3"/>
    </x:row>
    <x:row r="179">
      <x:c r="A179" s="81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3"/>
    </x:row>
    <x:row r="180">
      <x:c r="A180" s="81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3"/>
    </x:row>
    <x:row r="181">
      <x:c r="A181" s="81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3"/>
    </x:row>
    <x:row r="182">
      <x:c r="A182" s="81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3"/>
    </x:row>
    <x:row r="183">
      <x:c r="A183" s="81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3"/>
    </x:row>
    <x:row r="184">
      <x:c r="A184" s="81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3"/>
    </x:row>
    <x:row r="185">
      <x:c r="A185" s="81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3"/>
    </x:row>
    <x:row r="186">
      <x:c r="A186" s="81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3"/>
    </x:row>
    <x:row r="187">
      <x:c r="A187" s="81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3"/>
    </x:row>
    <x:row r="188">
      <x:c r="A188" s="81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3"/>
    </x:row>
    <x:row r="189">
      <x:c r="A189" s="81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3"/>
    </x:row>
    <x:row r="190">
      <x:c r="A190" s="81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3"/>
    </x:row>
    <x:row r="191">
      <x:c r="A191" s="81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3"/>
    </x:row>
    <x:row r="192">
      <x:c r="A192" s="81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3"/>
    </x:row>
    <x:row r="193">
      <x:c r="A193" s="81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3"/>
    </x:row>
    <x:row r="194">
      <x:c r="A194" s="81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3"/>
    </x:row>
    <x:row r="195">
      <x:c r="A195" s="81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3"/>
    </x:row>
    <x:row r="196">
      <x:c r="A196" s="81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3"/>
    </x:row>
    <x:row r="197">
      <x:c r="A197" s="81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3"/>
    </x:row>
    <x:row r="198">
      <x:c r="A198" s="81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3"/>
    </x:row>
    <x:row r="199">
      <x:c r="A199" s="81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3"/>
    </x:row>
    <x:row r="200">
      <x:c r="A200" s="81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3"/>
    </x:row>
    <x:row r="201">
      <x:c r="A201" s="81"/>
      <x:c r="B201" s="72"/>
      <x:c r="C201" s="72"/>
      <x:c r="D201" s="72"/>
      <x:c r="E201" s="72"/>
      <x:c r="F201" s="72"/>
      <x:c r="G201" s="72"/>
      <x:c r="H201" s="72"/>
      <x:c r="I201" s="72"/>
      <x:c r="J201" s="72"/>
      <x:c r="K201" s="72"/>
      <x:c r="L201" s="72"/>
      <x:c r="M201" s="72"/>
      <x:c r="N201" s="72"/>
      <x:c r="O201" s="72"/>
      <x:c r="P201" s="72"/>
      <x:c r="Q201" s="72"/>
      <x:c r="R201" s="72"/>
      <x:c r="S201" s="73"/>
    </x:row>
    <x:row r="202">
      <x:c r="A202" s="81"/>
      <x:c r="B202" s="72"/>
      <x:c r="C202" s="72"/>
      <x:c r="D202" s="72"/>
      <x:c r="E202" s="72"/>
      <x:c r="F202" s="72"/>
      <x:c r="G202" s="72"/>
      <x:c r="H202" s="72"/>
      <x:c r="I202" s="72"/>
      <x:c r="J202" s="72"/>
      <x:c r="K202" s="72"/>
      <x:c r="L202" s="72"/>
      <x:c r="M202" s="72"/>
      <x:c r="N202" s="72"/>
      <x:c r="O202" s="72"/>
      <x:c r="P202" s="72"/>
      <x:c r="Q202" s="72"/>
      <x:c r="R202" s="72"/>
      <x:c r="S202" s="73"/>
    </x:row>
    <x:row r="203">
      <x:c r="A203" s="81"/>
      <x:c r="B203" s="72"/>
      <x:c r="C203" s="72"/>
      <x:c r="D203" s="72"/>
      <x:c r="E203" s="72"/>
      <x:c r="F203" s="72"/>
      <x:c r="G203" s="72"/>
      <x:c r="H203" s="72"/>
      <x:c r="I203" s="72"/>
      <x:c r="J203" s="72"/>
      <x:c r="K203" s="72"/>
      <x:c r="L203" s="72"/>
      <x:c r="M203" s="72"/>
      <x:c r="N203" s="72"/>
      <x:c r="O203" s="72"/>
      <x:c r="P203" s="72"/>
      <x:c r="Q203" s="72"/>
      <x:c r="R203" s="72"/>
      <x:c r="S203" s="73"/>
    </x:row>
    <x:row r="204">
      <x:c r="A204" s="81"/>
      <x:c r="B204" s="72"/>
      <x:c r="C204" s="72"/>
      <x:c r="D204" s="72"/>
      <x:c r="E204" s="72"/>
      <x:c r="F204" s="72"/>
      <x:c r="G204" s="72"/>
      <x:c r="H204" s="72"/>
      <x:c r="I204" s="72"/>
      <x:c r="J204" s="72"/>
      <x:c r="K204" s="72"/>
      <x:c r="L204" s="72"/>
      <x:c r="M204" s="72"/>
      <x:c r="N204" s="72"/>
      <x:c r="O204" s="72"/>
      <x:c r="P204" s="72"/>
      <x:c r="Q204" s="72"/>
      <x:c r="R204" s="72"/>
      <x:c r="S204" s="73"/>
    </x:row>
    <x:row r="205">
      <x:c r="A205" s="81"/>
      <x:c r="B205" s="72"/>
      <x:c r="C205" s="72"/>
      <x:c r="D205" s="72"/>
      <x:c r="E205" s="72"/>
      <x:c r="F205" s="72"/>
      <x:c r="G205" s="72"/>
      <x:c r="H205" s="72"/>
      <x:c r="I205" s="72"/>
      <x:c r="J205" s="72"/>
      <x:c r="K205" s="72"/>
      <x:c r="L205" s="72"/>
      <x:c r="M205" s="72"/>
      <x:c r="N205" s="72"/>
      <x:c r="O205" s="72"/>
      <x:c r="P205" s="72"/>
      <x:c r="Q205" s="72"/>
      <x:c r="R205" s="72"/>
      <x:c r="S205" s="73"/>
    </x:row>
    <x:row r="206">
      <x:c r="A206" s="81"/>
      <x:c r="B206" s="72"/>
      <x:c r="C206" s="72"/>
      <x:c r="D206" s="72"/>
      <x:c r="E206" s="72"/>
      <x:c r="F206" s="72"/>
      <x:c r="G206" s="72"/>
      <x:c r="H206" s="72"/>
      <x:c r="I206" s="72"/>
      <x:c r="J206" s="72"/>
      <x:c r="K206" s="72"/>
      <x:c r="L206" s="72"/>
      <x:c r="M206" s="72"/>
      <x:c r="N206" s="72"/>
      <x:c r="O206" s="72"/>
      <x:c r="P206" s="72"/>
      <x:c r="Q206" s="72"/>
      <x:c r="R206" s="72"/>
      <x:c r="S206" s="73"/>
    </x:row>
    <x:row r="207">
      <x:c r="A207" s="81"/>
      <x:c r="B207" s="72"/>
      <x:c r="C207" s="72"/>
      <x:c r="D207" s="72"/>
      <x:c r="E207" s="72"/>
      <x:c r="F207" s="72"/>
      <x:c r="G207" s="72"/>
      <x:c r="H207" s="72"/>
      <x:c r="I207" s="72"/>
      <x:c r="J207" s="72"/>
      <x:c r="K207" s="72"/>
      <x:c r="L207" s="72"/>
      <x:c r="M207" s="72"/>
      <x:c r="N207" s="72"/>
      <x:c r="O207" s="72"/>
      <x:c r="P207" s="72"/>
      <x:c r="Q207" s="72"/>
      <x:c r="R207" s="72"/>
      <x:c r="S207" s="73"/>
    </x:row>
    <x:row r="208">
      <x:c r="A208" s="81"/>
      <x:c r="B208" s="72"/>
      <x:c r="C208" s="72"/>
      <x:c r="D208" s="72"/>
      <x:c r="E208" s="72"/>
      <x:c r="F208" s="72"/>
      <x:c r="G208" s="72"/>
      <x:c r="H208" s="72"/>
      <x:c r="I208" s="72"/>
      <x:c r="J208" s="72"/>
      <x:c r="K208" s="72"/>
      <x:c r="L208" s="72"/>
      <x:c r="M208" s="72"/>
      <x:c r="N208" s="72"/>
      <x:c r="O208" s="72"/>
      <x:c r="P208" s="72"/>
      <x:c r="Q208" s="72"/>
      <x:c r="R208" s="72"/>
      <x:c r="S208" s="73"/>
    </x:row>
    <x:row r="209">
      <x:c r="A209" s="81"/>
      <x:c r="B209" s="72"/>
      <x:c r="C209" s="72"/>
      <x:c r="D209" s="72"/>
      <x:c r="E209" s="72"/>
      <x:c r="F209" s="72"/>
      <x:c r="G209" s="72"/>
      <x:c r="H209" s="72"/>
      <x:c r="I209" s="72"/>
      <x:c r="J209" s="72"/>
      <x:c r="K209" s="72"/>
      <x:c r="L209" s="72"/>
      <x:c r="M209" s="72"/>
      <x:c r="N209" s="72"/>
      <x:c r="O209" s="72"/>
      <x:c r="P209" s="72"/>
      <x:c r="Q209" s="72"/>
      <x:c r="R209" s="72"/>
      <x:c r="S209" s="73"/>
    </x:row>
    <x:row r="210">
      <x:c r="A210" s="81"/>
      <x:c r="B210" s="72"/>
      <x:c r="C210" s="72"/>
      <x:c r="D210" s="72"/>
      <x:c r="E210" s="72"/>
      <x:c r="F210" s="72"/>
      <x:c r="G210" s="72"/>
      <x:c r="H210" s="72"/>
      <x:c r="I210" s="72"/>
      <x:c r="J210" s="72"/>
      <x:c r="K210" s="72"/>
      <x:c r="L210" s="72"/>
      <x:c r="M210" s="72"/>
      <x:c r="N210" s="72"/>
      <x:c r="O210" s="72"/>
      <x:c r="P210" s="72"/>
      <x:c r="Q210" s="72"/>
      <x:c r="R210" s="72"/>
      <x:c r="S210" s="73"/>
    </x:row>
    <x:row r="211">
      <x:c r="A211" s="81"/>
      <x:c r="B211" s="72"/>
      <x:c r="C211" s="72"/>
      <x:c r="D211" s="72"/>
      <x:c r="E211" s="72"/>
      <x:c r="F211" s="72"/>
      <x:c r="G211" s="72"/>
      <x:c r="H211" s="72"/>
      <x:c r="I211" s="72"/>
      <x:c r="J211" s="72"/>
      <x:c r="K211" s="72"/>
      <x:c r="L211" s="72"/>
      <x:c r="M211" s="72"/>
      <x:c r="N211" s="72"/>
      <x:c r="O211" s="72"/>
      <x:c r="P211" s="72"/>
      <x:c r="Q211" s="72"/>
      <x:c r="R211" s="72"/>
      <x:c r="S211" s="73"/>
    </x:row>
    <x:row r="212">
      <x:c r="A212" s="81"/>
      <x:c r="B212" s="72"/>
      <x:c r="C212" s="72"/>
      <x:c r="D212" s="72"/>
      <x:c r="E212" s="72"/>
      <x:c r="F212" s="72"/>
      <x:c r="G212" s="72"/>
      <x:c r="H212" s="72"/>
      <x:c r="I212" s="72"/>
      <x:c r="J212" s="72"/>
      <x:c r="K212" s="72"/>
      <x:c r="L212" s="72"/>
      <x:c r="M212" s="72"/>
      <x:c r="N212" s="72"/>
      <x:c r="O212" s="72"/>
      <x:c r="P212" s="72"/>
      <x:c r="Q212" s="72"/>
      <x:c r="R212" s="72"/>
      <x:c r="S212" s="73"/>
    </x:row>
    <x:row r="213">
      <x:c r="A213" s="81"/>
      <x:c r="B213" s="72"/>
      <x:c r="C213" s="72"/>
      <x:c r="D213" s="72"/>
      <x:c r="E213" s="72"/>
      <x:c r="F213" s="72"/>
      <x:c r="G213" s="72"/>
      <x:c r="H213" s="72"/>
      <x:c r="I213" s="72"/>
      <x:c r="J213" s="72"/>
      <x:c r="K213" s="72"/>
      <x:c r="L213" s="72"/>
      <x:c r="M213" s="72"/>
      <x:c r="N213" s="72"/>
      <x:c r="O213" s="72"/>
      <x:c r="P213" s="72"/>
      <x:c r="Q213" s="72"/>
      <x:c r="R213" s="72"/>
      <x:c r="S213" s="73"/>
    </x:row>
    <x:row r="214">
      <x:c r="A214" s="81"/>
      <x:c r="B214" s="72"/>
      <x:c r="C214" s="72"/>
      <x:c r="D214" s="72"/>
      <x:c r="E214" s="72"/>
      <x:c r="F214" s="72"/>
      <x:c r="G214" s="72"/>
      <x:c r="H214" s="72"/>
      <x:c r="I214" s="72"/>
      <x:c r="J214" s="72"/>
      <x:c r="K214" s="72"/>
      <x:c r="L214" s="72"/>
      <x:c r="M214" s="72"/>
      <x:c r="N214" s="72"/>
      <x:c r="O214" s="72"/>
      <x:c r="P214" s="72"/>
      <x:c r="Q214" s="72"/>
      <x:c r="R214" s="72"/>
      <x:c r="S214" s="73"/>
    </x:row>
    <x:row r="215">
      <x:c r="A215" s="81"/>
      <x:c r="B215" s="72"/>
      <x:c r="C215" s="72"/>
      <x:c r="D215" s="72"/>
      <x:c r="E215" s="72"/>
      <x:c r="F215" s="72"/>
      <x:c r="G215" s="72"/>
      <x:c r="H215" s="72"/>
      <x:c r="I215" s="72"/>
      <x:c r="J215" s="72"/>
      <x:c r="K215" s="72"/>
      <x:c r="L215" s="72"/>
      <x:c r="M215" s="72"/>
      <x:c r="N215" s="72"/>
      <x:c r="O215" s="72"/>
      <x:c r="P215" s="72"/>
      <x:c r="Q215" s="72"/>
      <x:c r="R215" s="72"/>
      <x:c r="S215" s="73"/>
    </x:row>
    <x:row r="216">
      <x:c r="A216" s="81"/>
      <x:c r="B216" s="72"/>
      <x:c r="C216" s="72"/>
      <x:c r="D216" s="72"/>
      <x:c r="E216" s="72"/>
      <x:c r="F216" s="72"/>
      <x:c r="G216" s="72"/>
      <x:c r="H216" s="72"/>
      <x:c r="I216" s="72"/>
      <x:c r="J216" s="72"/>
      <x:c r="K216" s="72"/>
      <x:c r="L216" s="72"/>
      <x:c r="M216" s="72"/>
      <x:c r="N216" s="72"/>
      <x:c r="O216" s="72"/>
      <x:c r="P216" s="72"/>
      <x:c r="Q216" s="72"/>
      <x:c r="R216" s="72"/>
      <x:c r="S216" s="73"/>
    </x:row>
    <x:row r="217">
      <x:c r="A217" s="81"/>
      <x:c r="B217" s="72"/>
      <x:c r="C217" s="72"/>
      <x:c r="D217" s="72"/>
      <x:c r="E217" s="72"/>
      <x:c r="F217" s="72"/>
      <x:c r="G217" s="72"/>
      <x:c r="H217" s="72"/>
      <x:c r="I217" s="72"/>
      <x:c r="J217" s="72"/>
      <x:c r="K217" s="72"/>
      <x:c r="L217" s="72"/>
      <x:c r="M217" s="72"/>
      <x:c r="N217" s="72"/>
      <x:c r="O217" s="72"/>
      <x:c r="P217" s="72"/>
      <x:c r="Q217" s="72"/>
      <x:c r="R217" s="72"/>
      <x:c r="S217" s="73"/>
    </x:row>
    <x:row r="218">
      <x:c r="A218" s="81"/>
      <x:c r="B218" s="72"/>
      <x:c r="C218" s="72"/>
      <x:c r="D218" s="72"/>
      <x:c r="E218" s="72"/>
      <x:c r="F218" s="72"/>
      <x:c r="G218" s="72"/>
      <x:c r="H218" s="72"/>
      <x:c r="I218" s="72"/>
      <x:c r="J218" s="72"/>
      <x:c r="K218" s="72"/>
      <x:c r="L218" s="72"/>
      <x:c r="M218" s="72"/>
      <x:c r="N218" s="72"/>
      <x:c r="O218" s="72"/>
      <x:c r="P218" s="72"/>
      <x:c r="Q218" s="72"/>
      <x:c r="R218" s="72"/>
      <x:c r="S218" s="73"/>
    </x:row>
    <x:row r="219">
      <x:c r="A219" s="81"/>
      <x:c r="B219" s="72"/>
      <x:c r="C219" s="72"/>
      <x:c r="D219" s="72"/>
      <x:c r="E219" s="72"/>
      <x:c r="F219" s="72"/>
      <x:c r="G219" s="72"/>
      <x:c r="H219" s="72"/>
      <x:c r="I219" s="72"/>
      <x:c r="J219" s="72"/>
      <x:c r="K219" s="72"/>
      <x:c r="L219" s="72"/>
      <x:c r="M219" s="72"/>
      <x:c r="N219" s="72"/>
      <x:c r="O219" s="72"/>
      <x:c r="P219" s="72"/>
      <x:c r="Q219" s="72"/>
      <x:c r="R219" s="72"/>
      <x:c r="S219" s="73"/>
    </x:row>
    <x:row r="220">
      <x:c r="A220" s="81"/>
      <x:c r="B220" s="72"/>
      <x:c r="C220" s="72"/>
      <x:c r="D220" s="72"/>
      <x:c r="E220" s="72"/>
      <x:c r="F220" s="72"/>
      <x:c r="G220" s="72"/>
      <x:c r="H220" s="72"/>
      <x:c r="I220" s="72"/>
      <x:c r="J220" s="72"/>
      <x:c r="K220" s="72"/>
      <x:c r="L220" s="72"/>
      <x:c r="M220" s="72"/>
      <x:c r="N220" s="72"/>
      <x:c r="O220" s="72"/>
      <x:c r="P220" s="72"/>
      <x:c r="Q220" s="72"/>
      <x:c r="R220" s="72"/>
      <x:c r="S220" s="73"/>
    </x:row>
    <x:row r="221">
      <x:c r="A221" s="81"/>
      <x:c r="B221" s="72"/>
      <x:c r="C221" s="72"/>
      <x:c r="D221" s="72"/>
      <x:c r="E221" s="72"/>
      <x:c r="F221" s="72"/>
      <x:c r="G221" s="72"/>
      <x:c r="H221" s="72"/>
      <x:c r="I221" s="72"/>
      <x:c r="J221" s="72"/>
      <x:c r="K221" s="72"/>
      <x:c r="L221" s="72"/>
      <x:c r="M221" s="72"/>
      <x:c r="N221" s="72"/>
      <x:c r="O221" s="72"/>
      <x:c r="P221" s="72"/>
      <x:c r="Q221" s="72"/>
      <x:c r="R221" s="72"/>
      <x:c r="S221" s="73"/>
    </x:row>
    <x:row r="222">
      <x:c r="A222" s="81"/>
      <x:c r="B222" s="72"/>
      <x:c r="C222" s="72"/>
      <x:c r="D222" s="72"/>
      <x:c r="E222" s="72"/>
      <x:c r="F222" s="72"/>
      <x:c r="G222" s="72"/>
      <x:c r="H222" s="72"/>
      <x:c r="I222" s="72"/>
      <x:c r="J222" s="72"/>
      <x:c r="K222" s="72"/>
      <x:c r="L222" s="72"/>
      <x:c r="M222" s="72"/>
      <x:c r="N222" s="72"/>
      <x:c r="O222" s="72"/>
      <x:c r="P222" s="72"/>
      <x:c r="Q222" s="72"/>
      <x:c r="R222" s="72"/>
      <x:c r="S222" s="73"/>
    </x:row>
    <x:row r="223">
      <x:c r="A223" s="81"/>
      <x:c r="B223" s="72"/>
      <x:c r="C223" s="72"/>
      <x:c r="D223" s="72"/>
      <x:c r="E223" s="72"/>
      <x:c r="F223" s="72"/>
      <x:c r="G223" s="72"/>
      <x:c r="H223" s="72"/>
      <x:c r="I223" s="72"/>
      <x:c r="J223" s="72"/>
      <x:c r="K223" s="72"/>
      <x:c r="L223" s="72"/>
      <x:c r="M223" s="72"/>
      <x:c r="N223" s="72"/>
      <x:c r="O223" s="72"/>
      <x:c r="P223" s="72"/>
      <x:c r="Q223" s="72"/>
      <x:c r="R223" s="72"/>
      <x:c r="S223" s="73"/>
    </x:row>
    <x:row r="224">
      <x:c r="A224" s="81"/>
      <x:c r="B224" s="72"/>
      <x:c r="C224" s="72"/>
      <x:c r="D224" s="72"/>
      <x:c r="E224" s="72"/>
      <x:c r="F224" s="72"/>
      <x:c r="G224" s="72"/>
      <x:c r="H224" s="72"/>
      <x:c r="I224" s="72"/>
      <x:c r="J224" s="72"/>
      <x:c r="K224" s="72"/>
      <x:c r="L224" s="72"/>
      <x:c r="M224" s="72"/>
      <x:c r="N224" s="72"/>
      <x:c r="O224" s="72"/>
      <x:c r="P224" s="72"/>
      <x:c r="Q224" s="72"/>
      <x:c r="R224" s="72"/>
      <x:c r="S224" s="73"/>
    </x:row>
    <x:row r="225">
      <x:c r="A225" s="81"/>
      <x:c r="B225" s="72"/>
      <x:c r="C225" s="72"/>
      <x:c r="D225" s="72"/>
      <x:c r="E225" s="72"/>
      <x:c r="F225" s="72"/>
      <x:c r="G225" s="72"/>
      <x:c r="H225" s="72"/>
      <x:c r="I225" s="72"/>
      <x:c r="J225" s="72"/>
      <x:c r="K225" s="72"/>
      <x:c r="L225" s="72"/>
      <x:c r="M225" s="72"/>
      <x:c r="N225" s="72"/>
      <x:c r="O225" s="72"/>
      <x:c r="P225" s="72"/>
      <x:c r="Q225" s="72"/>
      <x:c r="R225" s="72"/>
      <x:c r="S225" s="73"/>
    </x:row>
    <x:row r="226">
      <x:c r="A226" s="81"/>
      <x:c r="B226" s="72"/>
      <x:c r="C226" s="72"/>
      <x:c r="D226" s="72"/>
      <x:c r="E226" s="72"/>
      <x:c r="F226" s="72"/>
      <x:c r="G226" s="72"/>
      <x:c r="H226" s="72"/>
      <x:c r="I226" s="72"/>
      <x:c r="J226" s="72"/>
      <x:c r="K226" s="72"/>
      <x:c r="L226" s="72"/>
      <x:c r="M226" s="72"/>
      <x:c r="N226" s="72"/>
      <x:c r="O226" s="72"/>
      <x:c r="P226" s="72"/>
      <x:c r="Q226" s="72"/>
      <x:c r="R226" s="72"/>
      <x:c r="S226" s="73"/>
    </x:row>
    <x:row r="227">
      <x:c r="A227" s="81"/>
      <x:c r="B227" s="72"/>
      <x:c r="C227" s="72"/>
      <x:c r="D227" s="72"/>
      <x:c r="E227" s="72"/>
      <x:c r="F227" s="72"/>
      <x:c r="G227" s="72"/>
      <x:c r="H227" s="72"/>
      <x:c r="I227" s="72"/>
      <x:c r="J227" s="72"/>
      <x:c r="K227" s="72"/>
      <x:c r="L227" s="72"/>
      <x:c r="M227" s="72"/>
      <x:c r="N227" s="72"/>
      <x:c r="O227" s="72"/>
      <x:c r="P227" s="72"/>
      <x:c r="Q227" s="72"/>
      <x:c r="R227" s="72"/>
      <x:c r="S227" s="73"/>
    </x:row>
    <x:row r="228">
      <x:c r="A228" s="81"/>
      <x:c r="B228" s="72"/>
      <x:c r="C228" s="72"/>
      <x:c r="D228" s="72"/>
      <x:c r="E228" s="72"/>
      <x:c r="F228" s="72"/>
      <x:c r="G228" s="72"/>
      <x:c r="H228" s="72"/>
      <x:c r="I228" s="72"/>
      <x:c r="J228" s="72"/>
      <x:c r="K228" s="72"/>
      <x:c r="L228" s="72"/>
      <x:c r="M228" s="72"/>
      <x:c r="N228" s="72"/>
      <x:c r="O228" s="72"/>
      <x:c r="P228" s="72"/>
      <x:c r="Q228" s="72"/>
      <x:c r="R228" s="72"/>
      <x:c r="S228" s="73"/>
    </x:row>
    <x:row r="229">
      <x:c r="A229" s="81"/>
      <x:c r="B229" s="72"/>
      <x:c r="C229" s="72"/>
      <x:c r="D229" s="72"/>
      <x:c r="E229" s="72"/>
      <x:c r="F229" s="72"/>
      <x:c r="G229" s="72"/>
      <x:c r="H229" s="72"/>
      <x:c r="I229" s="72"/>
      <x:c r="J229" s="72"/>
      <x:c r="K229" s="72"/>
      <x:c r="L229" s="72"/>
      <x:c r="M229" s="72"/>
      <x:c r="N229" s="72"/>
      <x:c r="O229" s="72"/>
      <x:c r="P229" s="72"/>
      <x:c r="Q229" s="72"/>
      <x:c r="R229" s="72"/>
      <x:c r="S229" s="73"/>
    </x:row>
    <x:row r="230">
      <x:c r="A230" s="81"/>
      <x:c r="B230" s="72"/>
      <x:c r="C230" s="72"/>
      <x:c r="D230" s="72"/>
      <x:c r="E230" s="72"/>
      <x:c r="F230" s="72"/>
      <x:c r="G230" s="72"/>
      <x:c r="H230" s="72"/>
      <x:c r="I230" s="72"/>
      <x:c r="J230" s="72"/>
      <x:c r="K230" s="72"/>
      <x:c r="L230" s="72"/>
      <x:c r="M230" s="72"/>
      <x:c r="N230" s="72"/>
      <x:c r="O230" s="72"/>
      <x:c r="P230" s="72"/>
      <x:c r="Q230" s="72"/>
      <x:c r="R230" s="72"/>
      <x:c r="S230" s="73"/>
    </x:row>
    <x:row r="231">
      <x:c r="A231" s="81"/>
      <x:c r="B231" s="72"/>
      <x:c r="C231" s="72"/>
      <x:c r="D231" s="72"/>
      <x:c r="E231" s="72"/>
      <x:c r="F231" s="72"/>
      <x:c r="G231" s="72"/>
      <x:c r="H231" s="72"/>
      <x:c r="I231" s="72"/>
      <x:c r="J231" s="72"/>
      <x:c r="K231" s="72"/>
      <x:c r="L231" s="72"/>
      <x:c r="M231" s="72"/>
      <x:c r="N231" s="72"/>
      <x:c r="O231" s="72"/>
      <x:c r="P231" s="72"/>
      <x:c r="Q231" s="72"/>
      <x:c r="R231" s="72"/>
      <x:c r="S231" s="73"/>
    </x:row>
    <x:row r="232">
      <x:c r="A232" s="81"/>
      <x:c r="B232" s="72"/>
      <x:c r="C232" s="72"/>
      <x:c r="D232" s="72"/>
      <x:c r="E232" s="72"/>
      <x:c r="F232" s="72"/>
      <x:c r="G232" s="72"/>
      <x:c r="H232" s="72"/>
      <x:c r="I232" s="72"/>
      <x:c r="J232" s="72"/>
      <x:c r="K232" s="72"/>
      <x:c r="L232" s="72"/>
      <x:c r="M232" s="72"/>
      <x:c r="N232" s="72"/>
      <x:c r="O232" s="72"/>
      <x:c r="P232" s="72"/>
      <x:c r="Q232" s="72"/>
      <x:c r="R232" s="72"/>
      <x:c r="S232" s="73"/>
    </x:row>
    <x:row r="233">
      <x:c r="A233" s="81"/>
      <x:c r="B233" s="72"/>
      <x:c r="C233" s="72"/>
      <x:c r="D233" s="72"/>
      <x:c r="E233" s="72"/>
      <x:c r="F233" s="72"/>
      <x:c r="G233" s="72"/>
      <x:c r="H233" s="72"/>
      <x:c r="I233" s="72"/>
      <x:c r="J233" s="72"/>
      <x:c r="K233" s="72"/>
      <x:c r="L233" s="72"/>
      <x:c r="M233" s="72"/>
      <x:c r="N233" s="72"/>
      <x:c r="O233" s="72"/>
      <x:c r="P233" s="72"/>
      <x:c r="Q233" s="72"/>
      <x:c r="R233" s="72"/>
      <x:c r="S233" s="73"/>
    </x:row>
    <x:row r="234">
      <x:c r="A234" s="81"/>
      <x:c r="B234" s="72"/>
      <x:c r="C234" s="72"/>
      <x:c r="D234" s="72"/>
      <x:c r="E234" s="72"/>
      <x:c r="F234" s="72"/>
      <x:c r="G234" s="72"/>
      <x:c r="H234" s="72"/>
      <x:c r="I234" s="72"/>
      <x:c r="J234" s="72"/>
      <x:c r="K234" s="72"/>
      <x:c r="L234" s="72"/>
      <x:c r="M234" s="72"/>
      <x:c r="N234" s="72"/>
      <x:c r="O234" s="72"/>
      <x:c r="P234" s="72"/>
      <x:c r="Q234" s="72"/>
      <x:c r="R234" s="72"/>
      <x:c r="S234" s="73"/>
    </x:row>
    <x:row r="235">
      <x:c r="A235" s="81"/>
      <x:c r="B235" s="72"/>
      <x:c r="C235" s="72"/>
      <x:c r="D235" s="72"/>
      <x:c r="E235" s="72"/>
      <x:c r="F235" s="72"/>
      <x:c r="G235" s="72"/>
      <x:c r="H235" s="72"/>
      <x:c r="I235" s="72"/>
      <x:c r="J235" s="72"/>
      <x:c r="K235" s="72"/>
      <x:c r="L235" s="72"/>
      <x:c r="M235" s="72"/>
      <x:c r="N235" s="72"/>
      <x:c r="O235" s="72"/>
      <x:c r="P235" s="72"/>
      <x:c r="Q235" s="72"/>
      <x:c r="R235" s="72"/>
      <x:c r="S235" s="73"/>
    </x:row>
    <x:row r="236">
      <x:c r="A236" s="81"/>
      <x:c r="B236" s="72"/>
      <x:c r="C236" s="72"/>
      <x:c r="D236" s="72"/>
      <x:c r="E236" s="72"/>
      <x:c r="F236" s="72"/>
      <x:c r="G236" s="72"/>
      <x:c r="H236" s="72"/>
      <x:c r="I236" s="72"/>
      <x:c r="J236" s="72"/>
      <x:c r="K236" s="72"/>
      <x:c r="L236" s="72"/>
      <x:c r="M236" s="72"/>
      <x:c r="N236" s="72"/>
      <x:c r="O236" s="72"/>
      <x:c r="P236" s="72"/>
      <x:c r="Q236" s="72"/>
      <x:c r="R236" s="72"/>
      <x:c r="S236" s="73"/>
    </x:row>
    <x:row r="237">
      <x:c r="A237" s="81"/>
      <x:c r="B237" s="72"/>
      <x:c r="C237" s="72"/>
      <x:c r="D237" s="72"/>
      <x:c r="E237" s="72"/>
      <x:c r="F237" s="72"/>
      <x:c r="G237" s="72"/>
      <x:c r="H237" s="72"/>
      <x:c r="I237" s="72"/>
      <x:c r="J237" s="72"/>
      <x:c r="K237" s="72"/>
      <x:c r="L237" s="72"/>
      <x:c r="M237" s="72"/>
      <x:c r="N237" s="72"/>
      <x:c r="O237" s="72"/>
      <x:c r="P237" s="72"/>
      <x:c r="Q237" s="72"/>
      <x:c r="R237" s="72"/>
      <x:c r="S237" s="73"/>
    </x:row>
    <x:row r="238">
      <x:c r="A238" s="81"/>
      <x:c r="B238" s="72"/>
      <x:c r="C238" s="72"/>
      <x:c r="D238" s="72"/>
      <x:c r="E238" s="72"/>
      <x:c r="F238" s="72"/>
      <x:c r="G238" s="72"/>
      <x:c r="H238" s="72"/>
      <x:c r="I238" s="72"/>
      <x:c r="J238" s="72"/>
      <x:c r="K238" s="72"/>
      <x:c r="L238" s="72"/>
      <x:c r="M238" s="72"/>
      <x:c r="N238" s="72"/>
      <x:c r="O238" s="72"/>
      <x:c r="P238" s="72"/>
      <x:c r="Q238" s="72"/>
      <x:c r="R238" s="72"/>
      <x:c r="S238" s="73"/>
    </x:row>
    <x:row r="239">
      <x:c r="A239" s="81"/>
      <x:c r="B239" s="72"/>
      <x:c r="C239" s="72"/>
      <x:c r="D239" s="72"/>
      <x:c r="E239" s="72"/>
      <x:c r="F239" s="72"/>
      <x:c r="G239" s="72"/>
      <x:c r="H239" s="72"/>
      <x:c r="I239" s="72"/>
      <x:c r="J239" s="72"/>
      <x:c r="K239" s="72"/>
      <x:c r="L239" s="72"/>
      <x:c r="M239" s="72"/>
      <x:c r="N239" s="72"/>
      <x:c r="O239" s="72"/>
      <x:c r="P239" s="72"/>
      <x:c r="Q239" s="72"/>
      <x:c r="R239" s="72"/>
      <x:c r="S239" s="73"/>
    </x:row>
    <x:row r="240">
      <x:c r="A240" s="81"/>
      <x:c r="B240" s="72"/>
      <x:c r="C240" s="72"/>
      <x:c r="D240" s="72"/>
      <x:c r="E240" s="72"/>
      <x:c r="F240" s="72"/>
      <x:c r="G240" s="72"/>
      <x:c r="H240" s="72"/>
      <x:c r="I240" s="72"/>
      <x:c r="J240" s="72"/>
      <x:c r="K240" s="72"/>
      <x:c r="L240" s="72"/>
      <x:c r="M240" s="72"/>
      <x:c r="N240" s="72"/>
      <x:c r="O240" s="72"/>
      <x:c r="P240" s="72"/>
      <x:c r="Q240" s="72"/>
      <x:c r="R240" s="72"/>
      <x:c r="S240" s="73"/>
    </x:row>
    <x:row r="241">
      <x:c r="A241" s="81"/>
      <x:c r="B241" s="72"/>
      <x:c r="C241" s="72"/>
      <x:c r="D241" s="72"/>
      <x:c r="E241" s="72"/>
      <x:c r="F241" s="72"/>
      <x:c r="G241" s="72"/>
      <x:c r="H241" s="72"/>
      <x:c r="I241" s="72"/>
      <x:c r="J241" s="72"/>
      <x:c r="K241" s="72"/>
      <x:c r="L241" s="72"/>
      <x:c r="M241" s="72"/>
      <x:c r="N241" s="72"/>
      <x:c r="O241" s="72"/>
      <x:c r="P241" s="72"/>
      <x:c r="Q241" s="72"/>
      <x:c r="R241" s="72"/>
      <x:c r="S241" s="73"/>
    </x:row>
    <x:row r="242">
      <x:c r="A242" s="81"/>
      <x:c r="B242" s="72"/>
      <x:c r="C242" s="72"/>
      <x:c r="D242" s="72"/>
      <x:c r="E242" s="72"/>
      <x:c r="F242" s="72"/>
      <x:c r="G242" s="72"/>
      <x:c r="H242" s="72"/>
      <x:c r="I242" s="72"/>
      <x:c r="J242" s="72"/>
      <x:c r="K242" s="72"/>
      <x:c r="L242" s="72"/>
      <x:c r="M242" s="72"/>
      <x:c r="N242" s="72"/>
      <x:c r="O242" s="72"/>
      <x:c r="P242" s="72"/>
      <x:c r="Q242" s="72"/>
      <x:c r="R242" s="72"/>
      <x:c r="S242" s="73"/>
    </x:row>
    <x:row r="243">
      <x:c r="A243" s="81"/>
      <x:c r="B243" s="72"/>
      <x:c r="C243" s="72"/>
      <x:c r="D243" s="72"/>
      <x:c r="E243" s="72"/>
      <x:c r="F243" s="72"/>
      <x:c r="G243" s="72"/>
      <x:c r="H243" s="72"/>
      <x:c r="I243" s="72"/>
      <x:c r="J243" s="72"/>
      <x:c r="K243" s="72"/>
      <x:c r="L243" s="72"/>
      <x:c r="M243" s="72"/>
      <x:c r="N243" s="72"/>
      <x:c r="O243" s="72"/>
      <x:c r="P243" s="72"/>
      <x:c r="Q243" s="72"/>
      <x:c r="R243" s="72"/>
      <x:c r="S243" s="73"/>
    </x:row>
    <x:row r="244">
      <x:c r="A244" s="81"/>
      <x:c r="B244" s="72"/>
      <x:c r="C244" s="72"/>
      <x:c r="D244" s="72"/>
      <x:c r="E244" s="72"/>
      <x:c r="F244" s="72"/>
      <x:c r="G244" s="72"/>
      <x:c r="H244" s="72"/>
      <x:c r="I244" s="72"/>
      <x:c r="J244" s="72"/>
      <x:c r="K244" s="72"/>
      <x:c r="L244" s="72"/>
      <x:c r="M244" s="72"/>
      <x:c r="N244" s="72"/>
      <x:c r="O244" s="72"/>
      <x:c r="P244" s="72"/>
      <x:c r="Q244" s="72"/>
      <x:c r="R244" s="72"/>
      <x:c r="S244" s="73"/>
    </x:row>
    <x:row r="245">
      <x:c r="A245" s="81"/>
      <x:c r="B245" s="72"/>
      <x:c r="C245" s="72"/>
      <x:c r="D245" s="72"/>
      <x:c r="E245" s="72"/>
      <x:c r="F245" s="72"/>
      <x:c r="G245" s="72"/>
      <x:c r="H245" s="72"/>
      <x:c r="I245" s="72"/>
      <x:c r="J245" s="72"/>
      <x:c r="K245" s="72"/>
      <x:c r="L245" s="72"/>
      <x:c r="M245" s="72"/>
      <x:c r="N245" s="72"/>
      <x:c r="O245" s="72"/>
      <x:c r="P245" s="72"/>
      <x:c r="Q245" s="72"/>
      <x:c r="R245" s="72"/>
      <x:c r="S245" s="73"/>
    </x:row>
    <x:row r="246">
      <x:c r="A246" s="81"/>
      <x:c r="B246" s="72"/>
      <x:c r="C246" s="72"/>
      <x:c r="D246" s="72"/>
      <x:c r="E246" s="72"/>
      <x:c r="F246" s="72"/>
      <x:c r="G246" s="72"/>
      <x:c r="H246" s="72"/>
      <x:c r="I246" s="72"/>
      <x:c r="J246" s="72"/>
      <x:c r="K246" s="72"/>
      <x:c r="L246" s="72"/>
      <x:c r="M246" s="72"/>
      <x:c r="N246" s="72"/>
      <x:c r="O246" s="72"/>
      <x:c r="P246" s="72"/>
      <x:c r="Q246" s="72"/>
      <x:c r="R246" s="72"/>
      <x:c r="S246" s="73"/>
    </x:row>
    <x:row r="247">
      <x:c r="A247" s="81"/>
      <x:c r="B247" s="72"/>
      <x:c r="C247" s="72"/>
      <x:c r="D247" s="72"/>
      <x:c r="E247" s="72"/>
      <x:c r="F247" s="72"/>
      <x:c r="G247" s="72"/>
      <x:c r="H247" s="72"/>
      <x:c r="I247" s="72"/>
      <x:c r="J247" s="72"/>
      <x:c r="K247" s="72"/>
      <x:c r="L247" s="72"/>
      <x:c r="M247" s="72"/>
      <x:c r="N247" s="72"/>
      <x:c r="O247" s="72"/>
      <x:c r="P247" s="72"/>
      <x:c r="Q247" s="72"/>
      <x:c r="R247" s="72"/>
      <x:c r="S247" s="73"/>
    </x:row>
    <x:row r="248">
      <x:c r="A248" s="81"/>
      <x:c r="B248" s="72"/>
      <x:c r="C248" s="72"/>
      <x:c r="D248" s="72"/>
      <x:c r="E248" s="72"/>
      <x:c r="F248" s="72"/>
      <x:c r="G248" s="72"/>
      <x:c r="H248" s="72"/>
      <x:c r="I248" s="72"/>
      <x:c r="J248" s="72"/>
      <x:c r="K248" s="72"/>
      <x:c r="L248" s="72"/>
      <x:c r="M248" s="72"/>
      <x:c r="N248" s="72"/>
      <x:c r="O248" s="72"/>
      <x:c r="P248" s="72"/>
      <x:c r="Q248" s="72"/>
      <x:c r="R248" s="72"/>
      <x:c r="S248" s="73"/>
    </x:row>
    <x:row r="249">
      <x:c r="A249" s="81"/>
      <x:c r="B249" s="72"/>
      <x:c r="C249" s="72"/>
      <x:c r="D249" s="72"/>
      <x:c r="E249" s="72"/>
      <x:c r="F249" s="72"/>
      <x:c r="G249" s="72"/>
      <x:c r="H249" s="72"/>
      <x:c r="I249" s="72"/>
      <x:c r="J249" s="72"/>
      <x:c r="K249" s="72"/>
      <x:c r="L249" s="72"/>
      <x:c r="M249" s="72"/>
      <x:c r="N249" s="72"/>
      <x:c r="O249" s="72"/>
      <x:c r="P249" s="72"/>
      <x:c r="Q249" s="72"/>
      <x:c r="R249" s="72"/>
      <x:c r="S249" s="73"/>
    </x:row>
    <x:row r="250">
      <x:c r="A250" s="81"/>
      <x:c r="B250" s="72"/>
      <x:c r="C250" s="72"/>
      <x:c r="D250" s="72"/>
      <x:c r="E250" s="72"/>
      <x:c r="F250" s="72"/>
      <x:c r="G250" s="72"/>
      <x:c r="H250" s="72"/>
      <x:c r="I250" s="72"/>
      <x:c r="J250" s="72"/>
      <x:c r="K250" s="72"/>
      <x:c r="L250" s="72"/>
      <x:c r="M250" s="72"/>
      <x:c r="N250" s="72"/>
      <x:c r="O250" s="72"/>
      <x:c r="P250" s="72"/>
      <x:c r="Q250" s="72"/>
      <x:c r="R250" s="72"/>
      <x:c r="S250" s="73"/>
    </x:row>
    <x:row r="251">
      <x:c r="A251" s="81"/>
      <x:c r="B251" s="72"/>
      <x:c r="C251" s="72"/>
      <x:c r="D251" s="72"/>
      <x:c r="E251" s="72"/>
      <x:c r="F251" s="72"/>
      <x:c r="G251" s="72"/>
      <x:c r="H251" s="72"/>
      <x:c r="I251" s="72"/>
      <x:c r="J251" s="72"/>
      <x:c r="K251" s="72"/>
      <x:c r="L251" s="72"/>
      <x:c r="M251" s="72"/>
      <x:c r="N251" s="72"/>
      <x:c r="O251" s="72"/>
      <x:c r="P251" s="72"/>
      <x:c r="Q251" s="72"/>
      <x:c r="R251" s="72"/>
      <x:c r="S251" s="73"/>
    </x:row>
    <x:row r="252">
      <x:c r="A252" s="81"/>
      <x:c r="B252" s="72"/>
      <x:c r="C252" s="72"/>
      <x:c r="D252" s="72"/>
      <x:c r="E252" s="72"/>
      <x:c r="F252" s="72"/>
      <x:c r="G252" s="72"/>
      <x:c r="H252" s="72"/>
      <x:c r="I252" s="72"/>
      <x:c r="J252" s="72"/>
      <x:c r="K252" s="72"/>
      <x:c r="L252" s="72"/>
      <x:c r="M252" s="72"/>
      <x:c r="N252" s="72"/>
      <x:c r="O252" s="72"/>
      <x:c r="P252" s="72"/>
      <x:c r="Q252" s="72"/>
      <x:c r="R252" s="72"/>
      <x:c r="S252" s="73"/>
    </x:row>
    <x:row r="253">
      <x:c r="A253" s="81"/>
      <x:c r="B253" s="72"/>
      <x:c r="C253" s="72"/>
      <x:c r="D253" s="72"/>
      <x:c r="E253" s="72"/>
      <x:c r="F253" s="72"/>
      <x:c r="G253" s="72"/>
      <x:c r="H253" s="72"/>
      <x:c r="I253" s="72"/>
      <x:c r="J253" s="72"/>
      <x:c r="K253" s="72"/>
      <x:c r="L253" s="72"/>
      <x:c r="M253" s="72"/>
      <x:c r="N253" s="72"/>
      <x:c r="O253" s="72"/>
      <x:c r="P253" s="72"/>
      <x:c r="Q253" s="72"/>
      <x:c r="R253" s="72"/>
      <x:c r="S253" s="73"/>
    </x:row>
    <x:row r="254">
      <x:c r="A254" s="81"/>
      <x:c r="B254" s="72"/>
      <x:c r="C254" s="72"/>
      <x:c r="D254" s="72"/>
      <x:c r="E254" s="72"/>
      <x:c r="F254" s="72"/>
      <x:c r="G254" s="72"/>
      <x:c r="H254" s="72"/>
      <x:c r="I254" s="72"/>
      <x:c r="J254" s="72"/>
      <x:c r="K254" s="72"/>
      <x:c r="L254" s="72"/>
      <x:c r="M254" s="72"/>
      <x:c r="N254" s="72"/>
      <x:c r="O254" s="72"/>
      <x:c r="P254" s="72"/>
      <x:c r="Q254" s="72"/>
      <x:c r="R254" s="72"/>
      <x:c r="S254" s="73"/>
    </x:row>
    <x:row r="255">
      <x:c r="A255" s="81"/>
      <x:c r="B255" s="72"/>
      <x:c r="C255" s="72"/>
      <x:c r="D255" s="72"/>
      <x:c r="E255" s="72"/>
      <x:c r="F255" s="72"/>
      <x:c r="G255" s="72"/>
      <x:c r="H255" s="72"/>
      <x:c r="I255" s="72"/>
      <x:c r="J255" s="72"/>
      <x:c r="K255" s="72"/>
      <x:c r="L255" s="72"/>
      <x:c r="M255" s="72"/>
      <x:c r="N255" s="72"/>
      <x:c r="O255" s="72"/>
      <x:c r="P255" s="72"/>
      <x:c r="Q255" s="72"/>
      <x:c r="R255" s="72"/>
      <x:c r="S255" s="73"/>
    </x:row>
    <x:row r="256">
      <x:c r="A256" s="81"/>
      <x:c r="B256" s="72"/>
      <x:c r="C256" s="72"/>
      <x:c r="D256" s="72"/>
      <x:c r="E256" s="72"/>
      <x:c r="F256" s="72"/>
      <x:c r="G256" s="72"/>
      <x:c r="H256" s="72"/>
      <x:c r="I256" s="72"/>
      <x:c r="J256" s="72"/>
      <x:c r="K256" s="72"/>
      <x:c r="L256" s="72"/>
      <x:c r="M256" s="72"/>
      <x:c r="N256" s="72"/>
      <x:c r="O256" s="72"/>
      <x:c r="P256" s="72"/>
      <x:c r="Q256" s="72"/>
      <x:c r="R256" s="72"/>
      <x:c r="S256" s="73"/>
    </x:row>
    <x:row r="257">
      <x:c r="A257" s="81"/>
      <x:c r="B257" s="72"/>
      <x:c r="C257" s="72"/>
      <x:c r="D257" s="72"/>
      <x:c r="E257" s="72"/>
      <x:c r="F257" s="72"/>
      <x:c r="G257" s="72"/>
      <x:c r="H257" s="72"/>
      <x:c r="I257" s="72"/>
      <x:c r="J257" s="72"/>
      <x:c r="K257" s="72"/>
      <x:c r="L257" s="72"/>
      <x:c r="M257" s="72"/>
      <x:c r="N257" s="72"/>
      <x:c r="O257" s="72"/>
      <x:c r="P257" s="72"/>
      <x:c r="Q257" s="72"/>
      <x:c r="R257" s="72"/>
      <x:c r="S257" s="73"/>
    </x:row>
    <x:row r="258">
      <x:c r="A258" s="81"/>
      <x:c r="B258" s="72"/>
      <x:c r="C258" s="72"/>
      <x:c r="D258" s="72"/>
      <x:c r="E258" s="72"/>
      <x:c r="F258" s="72"/>
      <x:c r="G258" s="72"/>
      <x:c r="H258" s="72"/>
      <x:c r="I258" s="72"/>
      <x:c r="J258" s="72"/>
      <x:c r="K258" s="72"/>
      <x:c r="L258" s="72"/>
      <x:c r="M258" s="72"/>
      <x:c r="N258" s="72"/>
      <x:c r="O258" s="72"/>
      <x:c r="P258" s="72"/>
      <x:c r="Q258" s="72"/>
      <x:c r="R258" s="72"/>
      <x:c r="S258" s="73"/>
    </x:row>
    <x:row r="259">
      <x:c r="A259" s="81"/>
      <x:c r="B259" s="72"/>
      <x:c r="C259" s="72"/>
      <x:c r="D259" s="72"/>
      <x:c r="E259" s="72"/>
      <x:c r="F259" s="72"/>
      <x:c r="G259" s="72"/>
      <x:c r="H259" s="72"/>
      <x:c r="I259" s="72"/>
      <x:c r="J259" s="72"/>
      <x:c r="K259" s="72"/>
      <x:c r="L259" s="72"/>
      <x:c r="M259" s="72"/>
      <x:c r="N259" s="72"/>
      <x:c r="O259" s="72"/>
      <x:c r="P259" s="72"/>
      <x:c r="Q259" s="72"/>
      <x:c r="R259" s="72"/>
      <x:c r="S259" s="73"/>
    </x:row>
    <x:row r="260">
      <x:c r="A260" s="81"/>
      <x:c r="B260" s="72"/>
      <x:c r="C260" s="72"/>
      <x:c r="D260" s="72"/>
      <x:c r="E260" s="72"/>
      <x:c r="F260" s="72"/>
      <x:c r="G260" s="72"/>
      <x:c r="H260" s="72"/>
      <x:c r="I260" s="72"/>
      <x:c r="J260" s="72"/>
      <x:c r="K260" s="72"/>
      <x:c r="L260" s="72"/>
      <x:c r="M260" s="72"/>
      <x:c r="N260" s="72"/>
      <x:c r="O260" s="72"/>
      <x:c r="P260" s="72"/>
      <x:c r="Q260" s="72"/>
      <x:c r="R260" s="72"/>
      <x:c r="S260" s="73"/>
    </x:row>
    <x:row r="261">
      <x:c r="A261" s="81"/>
      <x:c r="B261" s="72"/>
      <x:c r="C261" s="72"/>
      <x:c r="D261" s="72"/>
      <x:c r="E261" s="72"/>
      <x:c r="F261" s="72"/>
      <x:c r="G261" s="72"/>
      <x:c r="H261" s="72"/>
      <x:c r="I261" s="72"/>
      <x:c r="J261" s="72"/>
      <x:c r="K261" s="72"/>
      <x:c r="L261" s="72"/>
      <x:c r="M261" s="72"/>
      <x:c r="N261" s="72"/>
      <x:c r="O261" s="72"/>
      <x:c r="P261" s="72"/>
      <x:c r="Q261" s="72"/>
      <x:c r="R261" s="72"/>
      <x:c r="S261" s="73"/>
    </x:row>
    <x:row r="262">
      <x:c r="A262" s="81"/>
      <x:c r="B262" s="72"/>
      <x:c r="C262" s="72"/>
      <x:c r="D262" s="72"/>
      <x:c r="E262" s="72"/>
      <x:c r="F262" s="72"/>
      <x:c r="G262" s="72"/>
      <x:c r="H262" s="72"/>
      <x:c r="I262" s="72"/>
      <x:c r="J262" s="72"/>
      <x:c r="K262" s="72"/>
      <x:c r="L262" s="72"/>
      <x:c r="M262" s="72"/>
      <x:c r="N262" s="72"/>
      <x:c r="O262" s="72"/>
      <x:c r="P262" s="72"/>
      <x:c r="Q262" s="72"/>
      <x:c r="R262" s="72"/>
      <x:c r="S262" s="73"/>
    </x:row>
    <x:row r="263">
      <x:c r="A263" s="81"/>
      <x:c r="B263" s="72"/>
      <x:c r="C263" s="72"/>
      <x:c r="D263" s="72"/>
      <x:c r="E263" s="72"/>
      <x:c r="F263" s="72"/>
      <x:c r="G263" s="72"/>
      <x:c r="H263" s="72"/>
      <x:c r="I263" s="72"/>
      <x:c r="J263" s="72"/>
      <x:c r="K263" s="72"/>
      <x:c r="L263" s="72"/>
      <x:c r="M263" s="72"/>
      <x:c r="N263" s="72"/>
      <x:c r="O263" s="72"/>
      <x:c r="P263" s="72"/>
      <x:c r="Q263" s="72"/>
      <x:c r="R263" s="72"/>
      <x:c r="S263" s="73"/>
    </x:row>
    <x:row r="264">
      <x:c r="A264" s="81"/>
      <x:c r="B264" s="72"/>
      <x:c r="C264" s="72"/>
      <x:c r="D264" s="72"/>
      <x:c r="E264" s="72"/>
      <x:c r="F264" s="72"/>
      <x:c r="G264" s="72"/>
      <x:c r="H264" s="72"/>
      <x:c r="I264" s="72"/>
      <x:c r="J264" s="72"/>
      <x:c r="K264" s="72"/>
      <x:c r="L264" s="72"/>
      <x:c r="M264" s="72"/>
      <x:c r="N264" s="72"/>
      <x:c r="O264" s="72"/>
      <x:c r="P264" s="72"/>
      <x:c r="Q264" s="72"/>
      <x:c r="R264" s="72"/>
      <x:c r="S264" s="73"/>
    </x:row>
    <x:row r="265">
      <x:c r="A265" s="81"/>
      <x:c r="B265" s="72"/>
      <x:c r="C265" s="72"/>
      <x:c r="D265" s="72"/>
      <x:c r="E265" s="72"/>
      <x:c r="F265" s="72"/>
      <x:c r="G265" s="72"/>
      <x:c r="H265" s="72"/>
      <x:c r="I265" s="72"/>
      <x:c r="J265" s="72"/>
      <x:c r="K265" s="72"/>
      <x:c r="L265" s="72"/>
      <x:c r="M265" s="72"/>
      <x:c r="N265" s="72"/>
      <x:c r="O265" s="72"/>
      <x:c r="P265" s="72"/>
      <x:c r="Q265" s="72"/>
      <x:c r="R265" s="72"/>
      <x:c r="S265" s="73"/>
    </x:row>
    <x:row r="266">
      <x:c r="A266" s="81"/>
      <x:c r="B266" s="72"/>
      <x:c r="C266" s="72"/>
      <x:c r="D266" s="72"/>
      <x:c r="E266" s="72"/>
      <x:c r="F266" s="72"/>
      <x:c r="G266" s="72"/>
      <x:c r="H266" s="72"/>
      <x:c r="I266" s="72"/>
      <x:c r="J266" s="72"/>
      <x:c r="K266" s="72"/>
      <x:c r="L266" s="72"/>
      <x:c r="M266" s="72"/>
      <x:c r="N266" s="72"/>
      <x:c r="O266" s="72"/>
      <x:c r="P266" s="72"/>
      <x:c r="Q266" s="72"/>
      <x:c r="R266" s="72"/>
      <x:c r="S266" s="73"/>
    </x:row>
    <x:row r="267">
      <x:c r="A267" s="81"/>
      <x:c r="B267" s="72"/>
      <x:c r="C267" s="72"/>
      <x:c r="D267" s="72"/>
      <x:c r="E267" s="72"/>
      <x:c r="F267" s="72"/>
      <x:c r="G267" s="72"/>
      <x:c r="H267" s="72"/>
      <x:c r="I267" s="72"/>
      <x:c r="J267" s="72"/>
      <x:c r="K267" s="72"/>
      <x:c r="L267" s="72"/>
      <x:c r="M267" s="72"/>
      <x:c r="N267" s="72"/>
      <x:c r="O267" s="72"/>
      <x:c r="P267" s="72"/>
      <x:c r="Q267" s="72"/>
      <x:c r="R267" s="72"/>
      <x:c r="S267" s="73"/>
    </x:row>
    <x:row r="268">
      <x:c r="A268" s="81"/>
      <x:c r="B268" s="72"/>
      <x:c r="C268" s="72"/>
      <x:c r="D268" s="72"/>
      <x:c r="E268" s="72"/>
      <x:c r="F268" s="72"/>
      <x:c r="G268" s="72"/>
      <x:c r="H268" s="72"/>
      <x:c r="I268" s="72"/>
      <x:c r="J268" s="72"/>
      <x:c r="K268" s="72"/>
      <x:c r="L268" s="72"/>
      <x:c r="M268" s="72"/>
      <x:c r="N268" s="72"/>
      <x:c r="O268" s="72"/>
      <x:c r="P268" s="72"/>
      <x:c r="Q268" s="72"/>
      <x:c r="R268" s="72"/>
      <x:c r="S268" s="73"/>
    </x:row>
    <x:row r="269">
      <x:c r="A269" s="81"/>
      <x:c r="B269" s="72"/>
      <x:c r="C269" s="72"/>
      <x:c r="D269" s="72"/>
      <x:c r="E269" s="72"/>
      <x:c r="F269" s="72"/>
      <x:c r="G269" s="72"/>
      <x:c r="H269" s="72"/>
      <x:c r="I269" s="72"/>
      <x:c r="J269" s="72"/>
      <x:c r="K269" s="72"/>
      <x:c r="L269" s="72"/>
      <x:c r="M269" s="72"/>
      <x:c r="N269" s="72"/>
      <x:c r="O269" s="72"/>
      <x:c r="P269" s="72"/>
      <x:c r="Q269" s="72"/>
      <x:c r="R269" s="72"/>
      <x:c r="S269" s="73"/>
    </x:row>
    <x:row r="270">
      <x:c r="A270" s="81"/>
      <x:c r="B270" s="72"/>
      <x:c r="C270" s="72"/>
      <x:c r="D270" s="72"/>
      <x:c r="E270" s="72"/>
      <x:c r="F270" s="72"/>
      <x:c r="G270" s="72"/>
      <x:c r="H270" s="72"/>
      <x:c r="I270" s="72"/>
      <x:c r="J270" s="72"/>
      <x:c r="K270" s="72"/>
      <x:c r="L270" s="72"/>
      <x:c r="M270" s="72"/>
      <x:c r="N270" s="72"/>
      <x:c r="O270" s="72"/>
      <x:c r="P270" s="72"/>
      <x:c r="Q270" s="72"/>
      <x:c r="R270" s="72"/>
      <x:c r="S270" s="73"/>
    </x:row>
    <x:row r="271">
      <x:c r="A271" s="81"/>
      <x:c r="B271" s="72"/>
      <x:c r="C271" s="72"/>
      <x:c r="D271" s="72"/>
      <x:c r="E271" s="72"/>
      <x:c r="F271" s="72"/>
      <x:c r="G271" s="72"/>
      <x:c r="H271" s="72"/>
      <x:c r="I271" s="72"/>
      <x:c r="J271" s="72"/>
      <x:c r="K271" s="72"/>
      <x:c r="L271" s="72"/>
      <x:c r="M271" s="72"/>
      <x:c r="N271" s="72"/>
      <x:c r="O271" s="72"/>
      <x:c r="P271" s="72"/>
      <x:c r="Q271" s="72"/>
      <x:c r="R271" s="72"/>
      <x:c r="S271" s="73"/>
    </x:row>
    <x:row r="272">
      <x:c r="A272" s="81"/>
      <x:c r="B272" s="72"/>
      <x:c r="C272" s="72"/>
      <x:c r="D272" s="72"/>
      <x:c r="E272" s="72"/>
      <x:c r="F272" s="72"/>
      <x:c r="G272" s="72"/>
      <x:c r="H272" s="72"/>
      <x:c r="I272" s="72"/>
      <x:c r="J272" s="72"/>
      <x:c r="K272" s="72"/>
      <x:c r="L272" s="72"/>
      <x:c r="M272" s="72"/>
      <x:c r="N272" s="72"/>
      <x:c r="O272" s="72"/>
      <x:c r="P272" s="72"/>
      <x:c r="Q272" s="72"/>
      <x:c r="R272" s="72"/>
      <x:c r="S272" s="73"/>
    </x:row>
    <x:row r="273">
      <x:c r="A273" s="81"/>
      <x:c r="B273" s="72"/>
      <x:c r="C273" s="72"/>
      <x:c r="D273" s="72"/>
      <x:c r="E273" s="72"/>
      <x:c r="F273" s="72"/>
      <x:c r="G273" s="72"/>
      <x:c r="H273" s="72"/>
      <x:c r="I273" s="72"/>
      <x:c r="J273" s="72"/>
      <x:c r="K273" s="72"/>
      <x:c r="L273" s="72"/>
      <x:c r="M273" s="72"/>
      <x:c r="N273" s="72"/>
      <x:c r="O273" s="72"/>
      <x:c r="P273" s="72"/>
      <x:c r="Q273" s="72"/>
      <x:c r="R273" s="72"/>
      <x:c r="S273" s="73"/>
    </x:row>
    <x:row r="274">
      <x:c r="A274" s="81"/>
      <x:c r="B274" s="72"/>
      <x:c r="C274" s="72"/>
      <x:c r="D274" s="72"/>
      <x:c r="E274" s="72"/>
      <x:c r="F274" s="72"/>
      <x:c r="G274" s="72"/>
      <x:c r="H274" s="72"/>
      <x:c r="I274" s="72"/>
      <x:c r="J274" s="72"/>
      <x:c r="K274" s="72"/>
      <x:c r="L274" s="72"/>
      <x:c r="M274" s="72"/>
      <x:c r="N274" s="72"/>
      <x:c r="O274" s="72"/>
      <x:c r="P274" s="72"/>
      <x:c r="Q274" s="72"/>
      <x:c r="R274" s="72"/>
      <x:c r="S274" s="73"/>
    </x:row>
    <x:row r="275">
      <x:c r="A275" s="81"/>
      <x:c r="B275" s="72"/>
      <x:c r="C275" s="72"/>
      <x:c r="D275" s="72"/>
      <x:c r="E275" s="72"/>
      <x:c r="F275" s="72"/>
      <x:c r="G275" s="72"/>
      <x:c r="H275" s="72"/>
      <x:c r="I275" s="72"/>
      <x:c r="J275" s="72"/>
      <x:c r="K275" s="72"/>
      <x:c r="L275" s="72"/>
      <x:c r="M275" s="72"/>
      <x:c r="N275" s="72"/>
      <x:c r="O275" s="72"/>
      <x:c r="P275" s="72"/>
      <x:c r="Q275" s="72"/>
      <x:c r="R275" s="72"/>
      <x:c r="S275" s="73"/>
    </x:row>
    <x:row r="276">
      <x:c r="A276" s="81"/>
      <x:c r="B276" s="72"/>
      <x:c r="C276" s="72"/>
      <x:c r="D276" s="72"/>
      <x:c r="E276" s="72"/>
      <x:c r="F276" s="72"/>
      <x:c r="G276" s="72"/>
      <x:c r="H276" s="72"/>
      <x:c r="I276" s="72"/>
      <x:c r="J276" s="72"/>
      <x:c r="K276" s="72"/>
      <x:c r="L276" s="72"/>
      <x:c r="M276" s="72"/>
      <x:c r="N276" s="72"/>
      <x:c r="O276" s="72"/>
      <x:c r="P276" s="72"/>
      <x:c r="Q276" s="72"/>
      <x:c r="R276" s="72"/>
      <x:c r="S276" s="73"/>
    </x:row>
    <x:row r="277">
      <x:c r="A277" s="81"/>
      <x:c r="B277" s="72"/>
      <x:c r="C277" s="72"/>
      <x:c r="D277" s="72"/>
      <x:c r="E277" s="72"/>
      <x:c r="F277" s="72"/>
      <x:c r="G277" s="72"/>
      <x:c r="H277" s="72"/>
      <x:c r="I277" s="72"/>
      <x:c r="J277" s="72"/>
      <x:c r="K277" s="72"/>
      <x:c r="L277" s="72"/>
      <x:c r="M277" s="72"/>
      <x:c r="N277" s="72"/>
      <x:c r="O277" s="72"/>
      <x:c r="P277" s="72"/>
      <x:c r="Q277" s="72"/>
      <x:c r="R277" s="72"/>
      <x:c r="S277" s="73"/>
    </x:row>
    <x:row r="278">
      <x:c r="A278" s="81"/>
      <x:c r="B278" s="72"/>
      <x:c r="C278" s="72"/>
      <x:c r="D278" s="72"/>
      <x:c r="E278" s="72"/>
      <x:c r="F278" s="72"/>
      <x:c r="G278" s="72"/>
      <x:c r="H278" s="72"/>
      <x:c r="I278" s="72"/>
      <x:c r="J278" s="72"/>
      <x:c r="K278" s="72"/>
      <x:c r="L278" s="72"/>
      <x:c r="M278" s="72"/>
      <x:c r="N278" s="72"/>
      <x:c r="O278" s="72"/>
      <x:c r="P278" s="72"/>
      <x:c r="Q278" s="72"/>
      <x:c r="R278" s="72"/>
      <x:c r="S278" s="73"/>
    </x:row>
    <x:row r="279">
      <x:c r="A279" s="81"/>
      <x:c r="B279" s="72"/>
      <x:c r="C279" s="72"/>
      <x:c r="D279" s="72"/>
      <x:c r="E279" s="72"/>
      <x:c r="F279" s="72"/>
      <x:c r="G279" s="72"/>
      <x:c r="H279" s="72"/>
      <x:c r="I279" s="72"/>
      <x:c r="J279" s="72"/>
      <x:c r="K279" s="72"/>
      <x:c r="L279" s="72"/>
      <x:c r="M279" s="72"/>
      <x:c r="N279" s="72"/>
      <x:c r="O279" s="72"/>
      <x:c r="P279" s="72"/>
      <x:c r="Q279" s="72"/>
      <x:c r="R279" s="72"/>
      <x:c r="S279" s="73"/>
    </x:row>
    <x:row r="280">
      <x:c r="A280" s="81"/>
      <x:c r="B280" s="72"/>
      <x:c r="C280" s="72"/>
      <x:c r="D280" s="72"/>
      <x:c r="E280" s="72"/>
      <x:c r="F280" s="72"/>
      <x:c r="G280" s="72"/>
      <x:c r="H280" s="72"/>
      <x:c r="I280" s="72"/>
      <x:c r="J280" s="72"/>
      <x:c r="K280" s="72"/>
      <x:c r="L280" s="72"/>
      <x:c r="M280" s="72"/>
      <x:c r="N280" s="72"/>
      <x:c r="O280" s="72"/>
      <x:c r="P280" s="72"/>
      <x:c r="Q280" s="72"/>
      <x:c r="R280" s="72"/>
      <x:c r="S280" s="73"/>
    </x:row>
    <x:row r="281">
      <x:c r="A281" s="81"/>
      <x:c r="B281" s="72"/>
      <x:c r="C281" s="72"/>
      <x:c r="D281" s="72"/>
      <x:c r="E281" s="72"/>
      <x:c r="F281" s="72"/>
      <x:c r="G281" s="72"/>
      <x:c r="H281" s="72"/>
      <x:c r="I281" s="72"/>
      <x:c r="J281" s="72"/>
      <x:c r="K281" s="72"/>
      <x:c r="L281" s="72"/>
      <x:c r="M281" s="72"/>
      <x:c r="N281" s="72"/>
      <x:c r="O281" s="72"/>
      <x:c r="P281" s="72"/>
      <x:c r="Q281" s="72"/>
      <x:c r="R281" s="72"/>
      <x:c r="S281" s="73"/>
    </x:row>
    <x:row r="282">
      <x:c r="A282" s="81"/>
      <x:c r="B282" s="72"/>
      <x:c r="C282" s="72"/>
      <x:c r="D282" s="72"/>
      <x:c r="E282" s="72"/>
      <x:c r="F282" s="72"/>
      <x:c r="G282" s="72"/>
      <x:c r="H282" s="72"/>
      <x:c r="I282" s="72"/>
      <x:c r="J282" s="72"/>
      <x:c r="K282" s="72"/>
      <x:c r="L282" s="72"/>
      <x:c r="M282" s="72"/>
      <x:c r="N282" s="72"/>
      <x:c r="O282" s="72"/>
      <x:c r="P282" s="72"/>
      <x:c r="Q282" s="72"/>
      <x:c r="R282" s="72"/>
      <x:c r="S282" s="73"/>
    </x:row>
    <x:row r="283">
      <x:c r="A283" s="81"/>
      <x:c r="B283" s="72"/>
      <x:c r="C283" s="72"/>
      <x:c r="D283" s="72"/>
      <x:c r="E283" s="72"/>
      <x:c r="F283" s="72"/>
      <x:c r="G283" s="72"/>
      <x:c r="H283" s="72"/>
      <x:c r="I283" s="72"/>
      <x:c r="J283" s="72"/>
      <x:c r="K283" s="72"/>
      <x:c r="L283" s="72"/>
      <x:c r="M283" s="72"/>
      <x:c r="N283" s="72"/>
      <x:c r="O283" s="72"/>
      <x:c r="P283" s="72"/>
      <x:c r="Q283" s="72"/>
      <x:c r="R283" s="72"/>
      <x:c r="S283" s="73"/>
    </x:row>
    <x:row r="284">
      <x:c r="A284" s="81"/>
      <x:c r="B284" s="72"/>
      <x:c r="C284" s="72"/>
      <x:c r="D284" s="72"/>
      <x:c r="E284" s="72"/>
      <x:c r="F284" s="72"/>
      <x:c r="G284" s="72"/>
      <x:c r="H284" s="72"/>
      <x:c r="I284" s="72"/>
      <x:c r="J284" s="72"/>
      <x:c r="K284" s="72"/>
      <x:c r="L284" s="72"/>
      <x:c r="M284" s="72"/>
      <x:c r="N284" s="72"/>
      <x:c r="O284" s="72"/>
      <x:c r="P284" s="72"/>
      <x:c r="Q284" s="72"/>
      <x:c r="R284" s="72"/>
      <x:c r="S284" s="73"/>
    </x:row>
    <x:row r="285">
      <x:c r="A285" s="81"/>
      <x:c r="B285" s="72"/>
      <x:c r="C285" s="72"/>
      <x:c r="D285" s="72"/>
      <x:c r="E285" s="72"/>
      <x:c r="F285" s="72"/>
      <x:c r="G285" s="72"/>
      <x:c r="H285" s="72"/>
      <x:c r="I285" s="72"/>
      <x:c r="J285" s="72"/>
      <x:c r="K285" s="72"/>
      <x:c r="L285" s="72"/>
      <x:c r="M285" s="72"/>
      <x:c r="N285" s="72"/>
      <x:c r="O285" s="72"/>
      <x:c r="P285" s="72"/>
      <x:c r="Q285" s="72"/>
      <x:c r="R285" s="72"/>
      <x:c r="S285" s="73"/>
    </x:row>
    <x:row r="286">
      <x:c r="A286" s="81"/>
      <x:c r="B286" s="72"/>
      <x:c r="C286" s="72"/>
      <x:c r="D286" s="72"/>
      <x:c r="E286" s="72"/>
      <x:c r="F286" s="72"/>
      <x:c r="G286" s="72"/>
      <x:c r="H286" s="72"/>
      <x:c r="I286" s="72"/>
      <x:c r="J286" s="72"/>
      <x:c r="K286" s="72"/>
      <x:c r="L286" s="72"/>
      <x:c r="M286" s="72"/>
      <x:c r="N286" s="72"/>
      <x:c r="O286" s="72"/>
      <x:c r="P286" s="72"/>
      <x:c r="Q286" s="72"/>
      <x:c r="R286" s="72"/>
      <x:c r="S286" s="73"/>
    </x:row>
    <x:row r="287">
      <x:c r="A287" s="81"/>
      <x:c r="B287" s="72"/>
      <x:c r="C287" s="72"/>
      <x:c r="D287" s="72"/>
      <x:c r="E287" s="72"/>
      <x:c r="F287" s="72"/>
      <x:c r="G287" s="72"/>
      <x:c r="H287" s="72"/>
      <x:c r="I287" s="72"/>
      <x:c r="J287" s="72"/>
      <x:c r="K287" s="72"/>
      <x:c r="L287" s="72"/>
      <x:c r="M287" s="72"/>
      <x:c r="N287" s="72"/>
      <x:c r="O287" s="72"/>
      <x:c r="P287" s="72"/>
      <x:c r="Q287" s="72"/>
      <x:c r="R287" s="72"/>
      <x:c r="S287" s="73"/>
    </x:row>
    <x:row r="288">
      <x:c r="A288" s="81"/>
      <x:c r="B288" s="72"/>
      <x:c r="C288" s="72"/>
      <x:c r="D288" s="72"/>
      <x:c r="E288" s="72"/>
      <x:c r="F288" s="72"/>
      <x:c r="G288" s="72"/>
      <x:c r="H288" s="72"/>
      <x:c r="I288" s="72"/>
      <x:c r="J288" s="72"/>
      <x:c r="K288" s="72"/>
      <x:c r="L288" s="72"/>
      <x:c r="M288" s="72"/>
      <x:c r="N288" s="72"/>
      <x:c r="O288" s="72"/>
      <x:c r="P288" s="72"/>
      <x:c r="Q288" s="72"/>
      <x:c r="R288" s="72"/>
      <x:c r="S288" s="73"/>
    </x:row>
    <x:row r="289">
      <x:c r="A289" s="81"/>
      <x:c r="B289" s="72"/>
      <x:c r="C289" s="72"/>
      <x:c r="D289" s="72"/>
      <x:c r="E289" s="72"/>
      <x:c r="F289" s="72"/>
      <x:c r="G289" s="72"/>
      <x:c r="H289" s="72"/>
      <x:c r="I289" s="72"/>
      <x:c r="J289" s="72"/>
      <x:c r="K289" s="72"/>
      <x:c r="L289" s="72"/>
      <x:c r="M289" s="72"/>
      <x:c r="N289" s="72"/>
      <x:c r="O289" s="72"/>
      <x:c r="P289" s="72"/>
      <x:c r="Q289" s="72"/>
      <x:c r="R289" s="72"/>
      <x:c r="S289" s="73"/>
    </x:row>
    <x:row r="290">
      <x:c r="A290" s="81"/>
      <x:c r="B290" s="72"/>
      <x:c r="C290" s="72"/>
      <x:c r="D290" s="72"/>
      <x:c r="E290" s="72"/>
      <x:c r="F290" s="72"/>
      <x:c r="G290" s="72"/>
      <x:c r="H290" s="72"/>
      <x:c r="I290" s="72"/>
      <x:c r="J290" s="72"/>
      <x:c r="K290" s="72"/>
      <x:c r="L290" s="72"/>
      <x:c r="M290" s="72"/>
      <x:c r="N290" s="72"/>
      <x:c r="O290" s="72"/>
      <x:c r="P290" s="72"/>
      <x:c r="Q290" s="72"/>
      <x:c r="R290" s="72"/>
      <x:c r="S290" s="73"/>
    </x:row>
    <x:row r="291">
      <x:c r="A291" s="81"/>
      <x:c r="B291" s="72"/>
      <x:c r="C291" s="72"/>
      <x:c r="D291" s="72"/>
      <x:c r="E291" s="72"/>
      <x:c r="F291" s="72"/>
      <x:c r="G291" s="72"/>
      <x:c r="H291" s="72"/>
      <x:c r="I291" s="72"/>
      <x:c r="J291" s="72"/>
      <x:c r="K291" s="72"/>
      <x:c r="L291" s="72"/>
      <x:c r="M291" s="72"/>
      <x:c r="N291" s="72"/>
      <x:c r="O291" s="72"/>
      <x:c r="P291" s="72"/>
      <x:c r="Q291" s="72"/>
      <x:c r="R291" s="72"/>
      <x:c r="S291" s="73"/>
    </x:row>
    <x:row r="292">
      <x:c r="A292" s="81"/>
      <x:c r="B292" s="72"/>
      <x:c r="C292" s="72"/>
      <x:c r="D292" s="72"/>
      <x:c r="E292" s="72"/>
      <x:c r="F292" s="72"/>
      <x:c r="G292" s="72"/>
      <x:c r="H292" s="72"/>
      <x:c r="I292" s="72"/>
      <x:c r="J292" s="72"/>
      <x:c r="K292" s="72"/>
      <x:c r="L292" s="72"/>
      <x:c r="M292" s="72"/>
      <x:c r="N292" s="72"/>
      <x:c r="O292" s="72"/>
      <x:c r="P292" s="72"/>
      <x:c r="Q292" s="72"/>
      <x:c r="R292" s="72"/>
      <x:c r="S292" s="73"/>
    </x:row>
    <x:row r="293">
      <x:c r="A293" s="81"/>
      <x:c r="B293" s="72"/>
      <x:c r="C293" s="72"/>
      <x:c r="D293" s="72"/>
      <x:c r="E293" s="72"/>
      <x:c r="F293" s="72"/>
      <x:c r="G293" s="72"/>
      <x:c r="H293" s="72"/>
      <x:c r="I293" s="72"/>
      <x:c r="J293" s="72"/>
      <x:c r="K293" s="72"/>
      <x:c r="L293" s="72"/>
      <x:c r="M293" s="72"/>
      <x:c r="N293" s="72"/>
      <x:c r="O293" s="72"/>
      <x:c r="P293" s="72"/>
      <x:c r="Q293" s="72"/>
      <x:c r="R293" s="72"/>
      <x:c r="S293" s="73"/>
    </x:row>
    <x:row r="294">
      <x:c r="A294" s="81"/>
      <x:c r="B294" s="72"/>
      <x:c r="C294" s="72"/>
      <x:c r="D294" s="72"/>
      <x:c r="E294" s="72"/>
      <x:c r="F294" s="72"/>
      <x:c r="G294" s="72"/>
      <x:c r="H294" s="72"/>
      <x:c r="I294" s="72"/>
      <x:c r="J294" s="72"/>
      <x:c r="K294" s="72"/>
      <x:c r="L294" s="72"/>
      <x:c r="M294" s="72"/>
      <x:c r="N294" s="72"/>
      <x:c r="O294" s="72"/>
      <x:c r="P294" s="72"/>
      <x:c r="Q294" s="72"/>
      <x:c r="R294" s="72"/>
      <x:c r="S294" s="73"/>
    </x:row>
    <x:row r="295">
      <x:c r="A295" s="81"/>
      <x:c r="B295" s="72"/>
      <x:c r="C295" s="72"/>
      <x:c r="D295" s="72"/>
      <x:c r="E295" s="72"/>
      <x:c r="F295" s="72"/>
      <x:c r="G295" s="72"/>
      <x:c r="H295" s="72"/>
      <x:c r="I295" s="72"/>
      <x:c r="J295" s="72"/>
      <x:c r="K295" s="72"/>
      <x:c r="L295" s="72"/>
      <x:c r="M295" s="72"/>
      <x:c r="N295" s="72"/>
      <x:c r="O295" s="72"/>
      <x:c r="P295" s="72"/>
      <x:c r="Q295" s="72"/>
      <x:c r="R295" s="72"/>
      <x:c r="S295" s="73"/>
    </x:row>
    <x:row r="296">
      <x:c r="A296" s="81"/>
      <x:c r="B296" s="72"/>
      <x:c r="C296" s="72"/>
      <x:c r="D296" s="72"/>
      <x:c r="E296" s="72"/>
      <x:c r="F296" s="72"/>
      <x:c r="G296" s="72"/>
      <x:c r="H296" s="72"/>
      <x:c r="I296" s="72"/>
      <x:c r="J296" s="72"/>
      <x:c r="K296" s="72"/>
      <x:c r="L296" s="72"/>
      <x:c r="M296" s="72"/>
      <x:c r="N296" s="72"/>
      <x:c r="O296" s="72"/>
      <x:c r="P296" s="72"/>
      <x:c r="Q296" s="72"/>
      <x:c r="R296" s="72"/>
      <x:c r="S296" s="73"/>
    </x:row>
    <x:row r="297">
      <x:c r="A297" s="81"/>
      <x:c r="B297" s="72"/>
      <x:c r="C297" s="72"/>
      <x:c r="D297" s="72"/>
      <x:c r="E297" s="72"/>
      <x:c r="F297" s="72"/>
      <x:c r="G297" s="72"/>
      <x:c r="H297" s="72"/>
      <x:c r="I297" s="72"/>
      <x:c r="J297" s="72"/>
      <x:c r="K297" s="72"/>
      <x:c r="L297" s="72"/>
      <x:c r="M297" s="72"/>
      <x:c r="N297" s="72"/>
      <x:c r="O297" s="72"/>
      <x:c r="P297" s="72"/>
      <x:c r="Q297" s="72"/>
      <x:c r="R297" s="72"/>
      <x:c r="S297" s="73"/>
    </x:row>
    <x:row r="298">
      <x:c r="A298" s="81"/>
      <x:c r="B298" s="72"/>
      <x:c r="C298" s="72"/>
      <x:c r="D298" s="72"/>
      <x:c r="E298" s="72"/>
      <x:c r="F298" s="72"/>
      <x:c r="G298" s="72"/>
      <x:c r="H298" s="72"/>
      <x:c r="I298" s="72"/>
      <x:c r="J298" s="72"/>
      <x:c r="K298" s="72"/>
      <x:c r="L298" s="72"/>
      <x:c r="M298" s="72"/>
      <x:c r="N298" s="72"/>
      <x:c r="O298" s="72"/>
      <x:c r="P298" s="72"/>
      <x:c r="Q298" s="72"/>
      <x:c r="R298" s="72"/>
      <x:c r="S298" s="73"/>
    </x:row>
    <x:row r="299">
      <x:c r="A299" s="81"/>
      <x:c r="B299" s="72"/>
      <x:c r="C299" s="72"/>
      <x:c r="D299" s="72"/>
      <x:c r="E299" s="72"/>
      <x:c r="F299" s="72"/>
      <x:c r="G299" s="72"/>
      <x:c r="H299" s="72"/>
      <x:c r="I299" s="72"/>
      <x:c r="J299" s="72"/>
      <x:c r="K299" s="72"/>
      <x:c r="L299" s="72"/>
      <x:c r="M299" s="72"/>
      <x:c r="N299" s="72"/>
      <x:c r="O299" s="72"/>
      <x:c r="P299" s="72"/>
      <x:c r="Q299" s="72"/>
      <x:c r="R299" s="72"/>
      <x:c r="S299" s="73"/>
    </x:row>
    <x:row r="300">
      <x:c r="A300" s="81"/>
      <x:c r="B300" s="72"/>
      <x:c r="C300" s="72"/>
      <x:c r="D300" s="72"/>
      <x:c r="E300" s="72"/>
      <x:c r="F300" s="72"/>
      <x:c r="G300" s="72"/>
      <x:c r="H300" s="72"/>
      <x:c r="I300" s="72"/>
      <x:c r="J300" s="72"/>
      <x:c r="K300" s="72"/>
      <x:c r="L300" s="72"/>
      <x:c r="M300" s="72"/>
      <x:c r="N300" s="72"/>
      <x:c r="O300" s="72"/>
      <x:c r="P300" s="72"/>
      <x:c r="Q300" s="72"/>
      <x:c r="R300" s="72"/>
      <x:c r="S300" s="73"/>
    </x:row>
    <x:row r="301">
      <x:c r="A301" s="81"/>
      <x:c r="B301" s="72"/>
      <x:c r="C301" s="72"/>
      <x:c r="D301" s="72"/>
      <x:c r="E301" s="72"/>
      <x:c r="F301" s="72"/>
      <x:c r="G301" s="72"/>
      <x:c r="H301" s="72"/>
      <x:c r="I301" s="72"/>
      <x:c r="J301" s="72"/>
      <x:c r="K301" s="72"/>
      <x:c r="L301" s="72"/>
      <x:c r="M301" s="72"/>
      <x:c r="N301" s="72"/>
      <x:c r="O301" s="72"/>
      <x:c r="P301" s="72"/>
      <x:c r="Q301" s="72"/>
      <x:c r="R301" s="72"/>
      <x:c r="S301" s="73"/>
    </x:row>
    <x:row r="302">
      <x:c r="A302" s="81"/>
      <x:c r="B302" s="72"/>
      <x:c r="C302" s="72"/>
      <x:c r="D302" s="72"/>
      <x:c r="E302" s="72"/>
      <x:c r="F302" s="72"/>
      <x:c r="G302" s="72"/>
      <x:c r="H302" s="72"/>
      <x:c r="I302" s="72"/>
      <x:c r="J302" s="72"/>
      <x:c r="K302" s="72"/>
      <x:c r="L302" s="72"/>
      <x:c r="M302" s="72"/>
      <x:c r="N302" s="72"/>
      <x:c r="O302" s="72"/>
      <x:c r="P302" s="72"/>
      <x:c r="Q302" s="72"/>
      <x:c r="R302" s="72"/>
      <x:c r="S302" s="73"/>
    </x:row>
    <x:row r="303">
      <x:c r="A303" s="81"/>
      <x:c r="B303" s="72"/>
      <x:c r="C303" s="72"/>
      <x:c r="D303" s="72"/>
      <x:c r="E303" s="72"/>
      <x:c r="F303" s="72"/>
      <x:c r="G303" s="72"/>
      <x:c r="H303" s="72"/>
      <x:c r="I303" s="72"/>
      <x:c r="J303" s="72"/>
      <x:c r="K303" s="72"/>
      <x:c r="L303" s="72"/>
      <x:c r="M303" s="72"/>
      <x:c r="N303" s="72"/>
      <x:c r="O303" s="72"/>
      <x:c r="P303" s="72"/>
      <x:c r="Q303" s="72"/>
      <x:c r="R303" s="72"/>
      <x:c r="S303" s="73"/>
    </x:row>
    <x:row r="304">
      <x:c r="A304" s="81"/>
      <x:c r="B304" s="72"/>
      <x:c r="C304" s="72"/>
      <x:c r="D304" s="72"/>
      <x:c r="E304" s="72"/>
      <x:c r="F304" s="72"/>
      <x:c r="G304" s="72"/>
      <x:c r="H304" s="72"/>
      <x:c r="I304" s="72"/>
      <x:c r="J304" s="72"/>
      <x:c r="K304" s="72"/>
      <x:c r="L304" s="72"/>
      <x:c r="M304" s="72"/>
      <x:c r="N304" s="72"/>
      <x:c r="O304" s="72"/>
      <x:c r="P304" s="72"/>
      <x:c r="Q304" s="72"/>
      <x:c r="R304" s="72"/>
      <x:c r="S304" s="73"/>
    </x:row>
    <x:row r="305">
      <x:c r="A305" s="81"/>
      <x:c r="B305" s="72"/>
      <x:c r="C305" s="72"/>
      <x:c r="D305" s="72"/>
      <x:c r="E305" s="72"/>
      <x:c r="F305" s="72"/>
      <x:c r="G305" s="72"/>
      <x:c r="H305" s="72"/>
      <x:c r="I305" s="72"/>
      <x:c r="J305" s="72"/>
      <x:c r="K305" s="72"/>
      <x:c r="L305" s="72"/>
      <x:c r="M305" s="72"/>
      <x:c r="N305" s="72"/>
      <x:c r="O305" s="72"/>
      <x:c r="P305" s="72"/>
      <x:c r="Q305" s="72"/>
      <x:c r="R305" s="72"/>
      <x:c r="S305" s="73"/>
    </x:row>
    <x:row r="306">
      <x:c r="A306" s="81"/>
      <x:c r="B306" s="72"/>
      <x:c r="C306" s="72"/>
      <x:c r="D306" s="72"/>
      <x:c r="E306" s="72"/>
      <x:c r="F306" s="72"/>
      <x:c r="G306" s="72"/>
      <x:c r="H306" s="72"/>
      <x:c r="I306" s="72"/>
      <x:c r="J306" s="72"/>
      <x:c r="K306" s="72"/>
      <x:c r="L306" s="72"/>
      <x:c r="M306" s="72"/>
      <x:c r="N306" s="72"/>
      <x:c r="O306" s="72"/>
      <x:c r="P306" s="72"/>
      <x:c r="Q306" s="72"/>
      <x:c r="R306" s="72"/>
      <x:c r="S306" s="73"/>
    </x:row>
    <x:row r="307">
      <x:c r="A307" s="81"/>
      <x:c r="B307" s="72"/>
      <x:c r="C307" s="72"/>
      <x:c r="D307" s="72"/>
      <x:c r="E307" s="72"/>
      <x:c r="F307" s="72"/>
      <x:c r="G307" s="72"/>
      <x:c r="H307" s="72"/>
      <x:c r="I307" s="72"/>
      <x:c r="J307" s="72"/>
      <x:c r="K307" s="72"/>
      <x:c r="L307" s="72"/>
      <x:c r="M307" s="72"/>
      <x:c r="N307" s="72"/>
      <x:c r="O307" s="72"/>
      <x:c r="P307" s="72"/>
      <x:c r="Q307" s="72"/>
      <x:c r="R307" s="72"/>
      <x:c r="S307" s="73"/>
    </x:row>
    <x:row r="308">
      <x:c r="A308" s="81"/>
      <x:c r="B308" s="72"/>
      <x:c r="C308" s="72"/>
      <x:c r="D308" s="72"/>
      <x:c r="E308" s="72"/>
      <x:c r="F308" s="72"/>
      <x:c r="G308" s="72"/>
      <x:c r="H308" s="72"/>
      <x:c r="I308" s="72"/>
      <x:c r="J308" s="72"/>
      <x:c r="K308" s="72"/>
      <x:c r="L308" s="72"/>
      <x:c r="M308" s="72"/>
      <x:c r="N308" s="72"/>
      <x:c r="O308" s="72"/>
      <x:c r="P308" s="72"/>
      <x:c r="Q308" s="72"/>
      <x:c r="R308" s="72"/>
      <x:c r="S308" s="73"/>
    </x:row>
    <x:row r="309">
      <x:c r="A309" s="81"/>
      <x:c r="B309" s="72"/>
      <x:c r="C309" s="72"/>
      <x:c r="D309" s="72"/>
      <x:c r="E309" s="72"/>
      <x:c r="F309" s="72"/>
      <x:c r="G309" s="72"/>
      <x:c r="H309" s="72"/>
      <x:c r="I309" s="72"/>
      <x:c r="J309" s="72"/>
      <x:c r="K309" s="72"/>
      <x:c r="L309" s="72"/>
      <x:c r="M309" s="72"/>
      <x:c r="N309" s="72"/>
      <x:c r="O309" s="72"/>
      <x:c r="P309" s="72"/>
      <x:c r="Q309" s="72"/>
      <x:c r="R309" s="72"/>
      <x:c r="S309" s="73"/>
    </x:row>
    <x:row r="310">
      <x:c r="A310" s="81"/>
      <x:c r="B310" s="72"/>
      <x:c r="C310" s="72"/>
      <x:c r="D310" s="72"/>
      <x:c r="E310" s="72"/>
      <x:c r="F310" s="72"/>
      <x:c r="G310" s="72"/>
      <x:c r="H310" s="72"/>
      <x:c r="I310" s="72"/>
      <x:c r="J310" s="72"/>
      <x:c r="K310" s="72"/>
      <x:c r="L310" s="72"/>
      <x:c r="M310" s="72"/>
      <x:c r="N310" s="72"/>
      <x:c r="O310" s="72"/>
      <x:c r="P310" s="72"/>
      <x:c r="Q310" s="72"/>
      <x:c r="R310" s="72"/>
      <x:c r="S310" s="73"/>
    </x:row>
    <x:row r="311">
      <x:c r="A311" s="81"/>
      <x:c r="B311" s="72"/>
      <x:c r="C311" s="72"/>
      <x:c r="D311" s="72"/>
      <x:c r="E311" s="72"/>
      <x:c r="F311" s="72"/>
      <x:c r="G311" s="72"/>
      <x:c r="H311" s="72"/>
      <x:c r="I311" s="72"/>
      <x:c r="J311" s="72"/>
      <x:c r="K311" s="72"/>
      <x:c r="L311" s="72"/>
      <x:c r="M311" s="72"/>
      <x:c r="N311" s="72"/>
      <x:c r="O311" s="72"/>
      <x:c r="P311" s="72"/>
      <x:c r="Q311" s="72"/>
      <x:c r="R311" s="72"/>
      <x:c r="S311" s="73"/>
    </x:row>
    <x:row r="312">
      <x:c r="A312" s="81"/>
      <x:c r="B312" s="72"/>
      <x:c r="C312" s="72"/>
      <x:c r="D312" s="72"/>
      <x:c r="E312" s="72"/>
      <x:c r="F312" s="72"/>
      <x:c r="G312" s="72"/>
      <x:c r="H312" s="72"/>
      <x:c r="I312" s="72"/>
      <x:c r="J312" s="72"/>
      <x:c r="K312" s="72"/>
      <x:c r="L312" s="72"/>
      <x:c r="M312" s="72"/>
      <x:c r="N312" s="72"/>
      <x:c r="O312" s="72"/>
      <x:c r="P312" s="72"/>
      <x:c r="Q312" s="72"/>
      <x:c r="R312" s="72"/>
      <x:c r="S312" s="73"/>
    </x:row>
    <x:row r="313">
      <x:c r="A313" s="81"/>
      <x:c r="B313" s="72"/>
      <x:c r="C313" s="72"/>
      <x:c r="D313" s="72"/>
      <x:c r="E313" s="72"/>
      <x:c r="F313" s="72"/>
      <x:c r="G313" s="72"/>
      <x:c r="H313" s="72"/>
      <x:c r="I313" s="72"/>
      <x:c r="J313" s="72"/>
      <x:c r="K313" s="72"/>
      <x:c r="L313" s="72"/>
      <x:c r="M313" s="72"/>
      <x:c r="N313" s="72"/>
      <x:c r="O313" s="72"/>
      <x:c r="P313" s="72"/>
      <x:c r="Q313" s="72"/>
      <x:c r="R313" s="72"/>
      <x:c r="S313" s="73"/>
    </x:row>
    <x:row r="314">
      <x:c r="A314" s="81"/>
      <x:c r="B314" s="72"/>
      <x:c r="C314" s="72"/>
      <x:c r="D314" s="72"/>
      <x:c r="E314" s="72"/>
      <x:c r="F314" s="72"/>
      <x:c r="G314" s="72"/>
      <x:c r="H314" s="72"/>
      <x:c r="I314" s="72"/>
      <x:c r="J314" s="72"/>
      <x:c r="K314" s="72"/>
      <x:c r="L314" s="72"/>
      <x:c r="M314" s="72"/>
      <x:c r="N314" s="72"/>
      <x:c r="O314" s="72"/>
      <x:c r="P314" s="72"/>
      <x:c r="Q314" s="72"/>
      <x:c r="R314" s="72"/>
      <x:c r="S314" s="73"/>
    </x:row>
    <x:row r="315">
      <x:c r="A315" s="81"/>
      <x:c r="B315" s="72"/>
      <x:c r="C315" s="72"/>
      <x:c r="D315" s="72"/>
      <x:c r="E315" s="72"/>
      <x:c r="F315" s="72"/>
      <x:c r="G315" s="72"/>
      <x:c r="H315" s="72"/>
      <x:c r="I315" s="72"/>
      <x:c r="J315" s="72"/>
      <x:c r="K315" s="72"/>
      <x:c r="L315" s="72"/>
      <x:c r="M315" s="72"/>
      <x:c r="N315" s="72"/>
      <x:c r="O315" s="72"/>
      <x:c r="P315" s="72"/>
      <x:c r="Q315" s="72"/>
      <x:c r="R315" s="72"/>
      <x:c r="S315" s="73"/>
    </x:row>
    <x:row r="316">
      <x:c r="A316" s="81"/>
      <x:c r="B316" s="72"/>
      <x:c r="C316" s="72"/>
      <x:c r="D316" s="72"/>
      <x:c r="E316" s="72"/>
      <x:c r="F316" s="72"/>
      <x:c r="G316" s="72"/>
      <x:c r="H316" s="72"/>
      <x:c r="I316" s="72"/>
      <x:c r="J316" s="72"/>
      <x:c r="K316" s="72"/>
      <x:c r="L316" s="72"/>
      <x:c r="M316" s="72"/>
      <x:c r="N316" s="72"/>
      <x:c r="O316" s="72"/>
      <x:c r="P316" s="72"/>
      <x:c r="Q316" s="72"/>
      <x:c r="R316" s="72"/>
      <x:c r="S316" s="73"/>
    </x:row>
    <x:row r="317">
      <x:c r="A317" s="81"/>
      <x:c r="B317" s="72"/>
      <x:c r="C317" s="72"/>
      <x:c r="D317" s="72"/>
      <x:c r="E317" s="72"/>
      <x:c r="F317" s="72"/>
      <x:c r="G317" s="72"/>
      <x:c r="H317" s="72"/>
      <x:c r="I317" s="72"/>
      <x:c r="J317" s="72"/>
      <x:c r="K317" s="72"/>
      <x:c r="L317" s="72"/>
      <x:c r="M317" s="72"/>
      <x:c r="N317" s="72"/>
      <x:c r="O317" s="72"/>
      <x:c r="P317" s="72"/>
      <x:c r="Q317" s="72"/>
      <x:c r="R317" s="72"/>
      <x:c r="S317" s="73"/>
    </x:row>
    <x:row r="318">
      <x:c r="A318" s="81"/>
      <x:c r="B318" s="72"/>
      <x:c r="C318" s="72"/>
      <x:c r="D318" s="72"/>
      <x:c r="E318" s="72"/>
      <x:c r="F318" s="72"/>
      <x:c r="G318" s="72"/>
      <x:c r="H318" s="72"/>
      <x:c r="I318" s="72"/>
      <x:c r="J318" s="72"/>
      <x:c r="K318" s="72"/>
      <x:c r="L318" s="72"/>
      <x:c r="M318" s="72"/>
      <x:c r="N318" s="72"/>
      <x:c r="O318" s="72"/>
      <x:c r="P318" s="72"/>
      <x:c r="Q318" s="72"/>
      <x:c r="R318" s="72"/>
      <x:c r="S318" s="73"/>
    </x:row>
    <x:row r="319">
      <x:c r="A319" s="81"/>
      <x:c r="B319" s="72"/>
      <x:c r="C319" s="72"/>
      <x:c r="D319" s="72"/>
      <x:c r="E319" s="72"/>
      <x:c r="F319" s="72"/>
      <x:c r="G319" s="72"/>
      <x:c r="H319" s="72"/>
      <x:c r="I319" s="72"/>
      <x:c r="J319" s="72"/>
      <x:c r="K319" s="72"/>
      <x:c r="L319" s="72"/>
      <x:c r="M319" s="72"/>
      <x:c r="N319" s="72"/>
      <x:c r="O319" s="72"/>
      <x:c r="P319" s="72"/>
      <x:c r="Q319" s="72"/>
      <x:c r="R319" s="72"/>
      <x:c r="S319" s="73"/>
    </x:row>
    <x:row r="320">
      <x:c r="A320" s="81"/>
      <x:c r="B320" s="72"/>
      <x:c r="C320" s="72"/>
      <x:c r="D320" s="72"/>
      <x:c r="E320" s="72"/>
      <x:c r="F320" s="72"/>
      <x:c r="G320" s="72"/>
      <x:c r="H320" s="72"/>
      <x:c r="I320" s="72"/>
      <x:c r="J320" s="72"/>
      <x:c r="K320" s="72"/>
      <x:c r="L320" s="72"/>
      <x:c r="M320" s="72"/>
      <x:c r="N320" s="72"/>
      <x:c r="O320" s="72"/>
      <x:c r="P320" s="72"/>
      <x:c r="Q320" s="72"/>
      <x:c r="R320" s="72"/>
      <x:c r="S320" s="73"/>
    </x:row>
    <x:row r="321">
      <x:c r="A321" s="81"/>
      <x:c r="B321" s="72"/>
      <x:c r="C321" s="72"/>
      <x:c r="D321" s="72"/>
      <x:c r="E321" s="72"/>
      <x:c r="F321" s="72"/>
      <x:c r="G321" s="72"/>
      <x:c r="H321" s="72"/>
      <x:c r="I321" s="72"/>
      <x:c r="J321" s="72"/>
      <x:c r="K321" s="72"/>
      <x:c r="L321" s="72"/>
      <x:c r="M321" s="72"/>
      <x:c r="N321" s="72"/>
      <x:c r="O321" s="72"/>
      <x:c r="P321" s="72"/>
      <x:c r="Q321" s="72"/>
      <x:c r="R321" s="72"/>
      <x:c r="S321" s="73"/>
    </x:row>
    <x:row r="322">
      <x:c r="A322" s="81"/>
      <x:c r="B322" s="72"/>
      <x:c r="C322" s="72"/>
      <x:c r="D322" s="72"/>
      <x:c r="E322" s="72"/>
      <x:c r="F322" s="72"/>
      <x:c r="G322" s="72"/>
      <x:c r="H322" s="72"/>
      <x:c r="I322" s="72"/>
      <x:c r="J322" s="72"/>
      <x:c r="K322" s="72"/>
      <x:c r="L322" s="72"/>
      <x:c r="M322" s="72"/>
      <x:c r="N322" s="72"/>
      <x:c r="O322" s="72"/>
      <x:c r="P322" s="72"/>
      <x:c r="Q322" s="72"/>
      <x:c r="R322" s="72"/>
      <x:c r="S322" s="73"/>
    </x:row>
    <x:row r="323">
      <x:c r="A323" s="81"/>
      <x:c r="B323" s="72"/>
      <x:c r="C323" s="72"/>
      <x:c r="D323" s="72"/>
      <x:c r="E323" s="72"/>
      <x:c r="F323" s="72"/>
      <x:c r="G323" s="72"/>
      <x:c r="H323" s="72"/>
      <x:c r="I323" s="72"/>
      <x:c r="J323" s="72"/>
      <x:c r="K323" s="72"/>
      <x:c r="L323" s="72"/>
      <x:c r="M323" s="72"/>
      <x:c r="N323" s="72"/>
      <x:c r="O323" s="72"/>
      <x:c r="P323" s="72"/>
      <x:c r="Q323" s="72"/>
      <x:c r="R323" s="72"/>
      <x:c r="S323" s="73"/>
    </x:row>
    <x:row r="324">
      <x:c r="A324" s="81"/>
      <x:c r="B324" s="72"/>
      <x:c r="C324" s="72"/>
      <x:c r="D324" s="72"/>
      <x:c r="E324" s="72"/>
      <x:c r="F324" s="72"/>
      <x:c r="G324" s="72"/>
      <x:c r="H324" s="72"/>
      <x:c r="I324" s="72"/>
      <x:c r="J324" s="72"/>
      <x:c r="K324" s="72"/>
      <x:c r="L324" s="72"/>
      <x:c r="M324" s="72"/>
      <x:c r="N324" s="72"/>
      <x:c r="O324" s="72"/>
      <x:c r="P324" s="72"/>
      <x:c r="Q324" s="72"/>
      <x:c r="R324" s="72"/>
      <x:c r="S324" s="73"/>
    </x:row>
    <x:row r="325">
      <x:c r="A325" s="81"/>
      <x:c r="B325" s="72"/>
      <x:c r="C325" s="72"/>
      <x:c r="D325" s="72"/>
      <x:c r="E325" s="72"/>
      <x:c r="F325" s="72"/>
      <x:c r="G325" s="72"/>
      <x:c r="H325" s="72"/>
      <x:c r="I325" s="72"/>
      <x:c r="J325" s="72"/>
      <x:c r="K325" s="72"/>
      <x:c r="L325" s="72"/>
      <x:c r="M325" s="72"/>
      <x:c r="N325" s="72"/>
      <x:c r="O325" s="72"/>
      <x:c r="P325" s="72"/>
      <x:c r="Q325" s="72"/>
      <x:c r="R325" s="72"/>
      <x:c r="S325" s="73"/>
    </x:row>
    <x:row r="326">
      <x:c r="A326" s="81"/>
      <x:c r="B326" s="72"/>
      <x:c r="C326" s="72"/>
      <x:c r="D326" s="72"/>
      <x:c r="E326" s="72"/>
      <x:c r="F326" s="72"/>
      <x:c r="G326" s="72"/>
      <x:c r="H326" s="72"/>
      <x:c r="I326" s="72"/>
      <x:c r="J326" s="72"/>
      <x:c r="K326" s="72"/>
      <x:c r="L326" s="72"/>
      <x:c r="M326" s="72"/>
      <x:c r="N326" s="72"/>
      <x:c r="O326" s="72"/>
      <x:c r="P326" s="72"/>
      <x:c r="Q326" s="72"/>
      <x:c r="R326" s="72"/>
      <x:c r="S326" s="73"/>
    </x:row>
    <x:row r="327">
      <x:c r="A327" s="81"/>
      <x:c r="B327" s="72"/>
      <x:c r="C327" s="72"/>
      <x:c r="D327" s="72"/>
      <x:c r="E327" s="72"/>
      <x:c r="F327" s="72"/>
      <x:c r="G327" s="72"/>
      <x:c r="H327" s="72"/>
      <x:c r="I327" s="72"/>
      <x:c r="J327" s="72"/>
      <x:c r="K327" s="72"/>
      <x:c r="L327" s="72"/>
      <x:c r="M327" s="72"/>
      <x:c r="N327" s="72"/>
      <x:c r="O327" s="72"/>
      <x:c r="P327" s="72"/>
      <x:c r="Q327" s="72"/>
      <x:c r="R327" s="72"/>
      <x:c r="S327" s="73"/>
    </x:row>
    <x:row r="328">
      <x:c r="A328" s="81"/>
      <x:c r="B328" s="72"/>
      <x:c r="C328" s="72"/>
      <x:c r="D328" s="72"/>
      <x:c r="E328" s="72"/>
      <x:c r="F328" s="72"/>
      <x:c r="G328" s="72"/>
      <x:c r="H328" s="72"/>
      <x:c r="I328" s="72"/>
      <x:c r="J328" s="72"/>
      <x:c r="K328" s="72"/>
      <x:c r="L328" s="72"/>
      <x:c r="M328" s="72"/>
      <x:c r="N328" s="72"/>
      <x:c r="O328" s="72"/>
      <x:c r="P328" s="72"/>
      <x:c r="Q328" s="72"/>
      <x:c r="R328" s="72"/>
      <x:c r="S328" s="73"/>
    </x:row>
    <x:row r="329">
      <x:c r="A329" s="81"/>
      <x:c r="B329" s="72"/>
      <x:c r="C329" s="72"/>
      <x:c r="D329" s="72"/>
      <x:c r="E329" s="72"/>
      <x:c r="F329" s="72"/>
      <x:c r="G329" s="72"/>
      <x:c r="H329" s="72"/>
      <x:c r="I329" s="72"/>
      <x:c r="J329" s="72"/>
      <x:c r="K329" s="72"/>
      <x:c r="L329" s="72"/>
      <x:c r="M329" s="72"/>
      <x:c r="N329" s="72"/>
      <x:c r="O329" s="72"/>
      <x:c r="P329" s="72"/>
      <x:c r="Q329" s="72"/>
      <x:c r="R329" s="72"/>
      <x:c r="S329" s="73"/>
    </x:row>
    <x:row r="330">
      <x:c r="A330" s="81"/>
      <x:c r="B330" s="72"/>
      <x:c r="C330" s="72"/>
      <x:c r="D330" s="72"/>
      <x:c r="E330" s="72"/>
      <x:c r="F330" s="72"/>
      <x:c r="G330" s="72"/>
      <x:c r="H330" s="72"/>
      <x:c r="I330" s="72"/>
      <x:c r="J330" s="72"/>
      <x:c r="K330" s="72"/>
      <x:c r="L330" s="72"/>
      <x:c r="M330" s="72"/>
      <x:c r="N330" s="72"/>
      <x:c r="O330" s="72"/>
      <x:c r="P330" s="72"/>
      <x:c r="Q330" s="72"/>
      <x:c r="R330" s="72"/>
      <x:c r="S330" s="73"/>
    </x:row>
    <x:row r="331">
      <x:c r="A331" s="81"/>
      <x:c r="B331" s="72"/>
      <x:c r="C331" s="72"/>
      <x:c r="D331" s="72"/>
      <x:c r="E331" s="72"/>
      <x:c r="F331" s="72"/>
      <x:c r="G331" s="72"/>
      <x:c r="H331" s="72"/>
      <x:c r="I331" s="72"/>
      <x:c r="J331" s="72"/>
      <x:c r="K331" s="72"/>
      <x:c r="L331" s="72"/>
      <x:c r="M331" s="72"/>
      <x:c r="N331" s="72"/>
      <x:c r="O331" s="72"/>
      <x:c r="P331" s="72"/>
      <x:c r="Q331" s="72"/>
      <x:c r="R331" s="72"/>
      <x:c r="S331" s="73"/>
    </x:row>
    <x:row r="332">
      <x:c r="A332" s="81"/>
      <x:c r="B332" s="72"/>
      <x:c r="C332" s="72"/>
      <x:c r="D332" s="72"/>
      <x:c r="E332" s="72"/>
      <x:c r="F332" s="72"/>
      <x:c r="G332" s="72"/>
      <x:c r="H332" s="72"/>
      <x:c r="I332" s="72"/>
      <x:c r="J332" s="72"/>
      <x:c r="K332" s="72"/>
      <x:c r="L332" s="72"/>
      <x:c r="M332" s="72"/>
      <x:c r="N332" s="72"/>
      <x:c r="O332" s="72"/>
      <x:c r="P332" s="72"/>
      <x:c r="Q332" s="72"/>
      <x:c r="R332" s="72"/>
      <x:c r="S332" s="73"/>
    </x:row>
    <x:row r="333">
      <x:c r="A333" s="81"/>
      <x:c r="B333" s="72"/>
      <x:c r="C333" s="72"/>
      <x:c r="D333" s="72"/>
      <x:c r="E333" s="72"/>
      <x:c r="F333" s="72"/>
      <x:c r="G333" s="72"/>
      <x:c r="H333" s="72"/>
      <x:c r="I333" s="72"/>
      <x:c r="J333" s="72"/>
      <x:c r="K333" s="72"/>
      <x:c r="L333" s="72"/>
      <x:c r="M333" s="72"/>
      <x:c r="N333" s="72"/>
      <x:c r="O333" s="72"/>
      <x:c r="P333" s="72"/>
      <x:c r="Q333" s="72"/>
      <x:c r="R333" s="72"/>
      <x:c r="S333" s="73"/>
    </x:row>
    <x:row r="334">
      <x:c r="A334" s="81"/>
      <x:c r="B334" s="72"/>
      <x:c r="C334" s="72"/>
      <x:c r="D334" s="72"/>
      <x:c r="E334" s="72"/>
      <x:c r="F334" s="72"/>
      <x:c r="G334" s="72"/>
      <x:c r="H334" s="72"/>
      <x:c r="I334" s="72"/>
      <x:c r="J334" s="72"/>
      <x:c r="K334" s="72"/>
      <x:c r="L334" s="72"/>
      <x:c r="M334" s="72"/>
      <x:c r="N334" s="72"/>
      <x:c r="O334" s="72"/>
      <x:c r="P334" s="72"/>
      <x:c r="Q334" s="72"/>
      <x:c r="R334" s="72"/>
      <x:c r="S334" s="73"/>
    </x:row>
    <x:row r="335">
      <x:c r="A335" s="81"/>
      <x:c r="B335" s="72"/>
      <x:c r="C335" s="72"/>
      <x:c r="D335" s="72"/>
      <x:c r="E335" s="72"/>
      <x:c r="F335" s="72"/>
      <x:c r="G335" s="72"/>
      <x:c r="H335" s="72"/>
      <x:c r="I335" s="72"/>
      <x:c r="J335" s="72"/>
      <x:c r="K335" s="72"/>
      <x:c r="L335" s="72"/>
      <x:c r="M335" s="72"/>
      <x:c r="N335" s="72"/>
      <x:c r="O335" s="72"/>
      <x:c r="P335" s="72"/>
      <x:c r="Q335" s="72"/>
      <x:c r="R335" s="72"/>
      <x:c r="S335" s="73"/>
    </x:row>
    <x:row r="336">
      <x:c r="A336" s="81"/>
      <x:c r="B336" s="72"/>
      <x:c r="C336" s="72"/>
      <x:c r="D336" s="72"/>
      <x:c r="E336" s="72"/>
      <x:c r="F336" s="72"/>
      <x:c r="G336" s="72"/>
      <x:c r="H336" s="72"/>
      <x:c r="I336" s="72"/>
      <x:c r="J336" s="72"/>
      <x:c r="K336" s="72"/>
      <x:c r="L336" s="72"/>
      <x:c r="M336" s="72"/>
      <x:c r="N336" s="72"/>
      <x:c r="O336" s="72"/>
      <x:c r="P336" s="72"/>
      <x:c r="Q336" s="72"/>
      <x:c r="R336" s="72"/>
      <x:c r="S336" s="73"/>
    </x:row>
    <x:row r="337">
      <x:c r="A337" s="81"/>
      <x:c r="B337" s="72"/>
      <x:c r="C337" s="72"/>
      <x:c r="D337" s="72"/>
      <x:c r="E337" s="72"/>
      <x:c r="F337" s="72"/>
      <x:c r="G337" s="72"/>
      <x:c r="H337" s="72"/>
      <x:c r="I337" s="72"/>
      <x:c r="J337" s="72"/>
      <x:c r="K337" s="72"/>
      <x:c r="L337" s="72"/>
      <x:c r="M337" s="72"/>
      <x:c r="N337" s="72"/>
      <x:c r="O337" s="72"/>
      <x:c r="P337" s="72"/>
      <x:c r="Q337" s="72"/>
      <x:c r="R337" s="72"/>
      <x:c r="S337" s="73"/>
    </x:row>
    <x:row r="338">
      <x:c r="A338" s="81"/>
      <x:c r="B338" s="72"/>
      <x:c r="C338" s="72"/>
      <x:c r="D338" s="72"/>
      <x:c r="E338" s="72"/>
      <x:c r="F338" s="72"/>
      <x:c r="G338" s="72"/>
      <x:c r="H338" s="72"/>
      <x:c r="I338" s="72"/>
      <x:c r="J338" s="72"/>
      <x:c r="K338" s="72"/>
      <x:c r="L338" s="72"/>
      <x:c r="M338" s="72"/>
      <x:c r="N338" s="72"/>
      <x:c r="O338" s="72"/>
      <x:c r="P338" s="72"/>
      <x:c r="Q338" s="72"/>
      <x:c r="R338" s="72"/>
      <x:c r="S338" s="73"/>
    </x:row>
    <x:row r="339">
      <x:c r="A339" s="81"/>
      <x:c r="B339" s="72"/>
      <x:c r="C339" s="72"/>
      <x:c r="D339" s="72"/>
      <x:c r="E339" s="72"/>
      <x:c r="F339" s="72"/>
      <x:c r="G339" s="72"/>
      <x:c r="H339" s="72"/>
      <x:c r="I339" s="72"/>
      <x:c r="J339" s="72"/>
      <x:c r="K339" s="72"/>
      <x:c r="L339" s="72"/>
      <x:c r="M339" s="72"/>
      <x:c r="N339" s="72"/>
      <x:c r="O339" s="72"/>
      <x:c r="P339" s="72"/>
      <x:c r="Q339" s="72"/>
      <x:c r="R339" s="72"/>
      <x:c r="S339" s="73"/>
    </x:row>
    <x:row r="340">
      <x:c r="A340" s="81"/>
      <x:c r="B340" s="72"/>
      <x:c r="C340" s="72"/>
      <x:c r="D340" s="72"/>
      <x:c r="E340" s="72"/>
      <x:c r="F340" s="72"/>
      <x:c r="G340" s="72"/>
      <x:c r="H340" s="72"/>
      <x:c r="I340" s="72"/>
      <x:c r="J340" s="72"/>
      <x:c r="K340" s="72"/>
      <x:c r="L340" s="72"/>
      <x:c r="M340" s="72"/>
      <x:c r="N340" s="72"/>
      <x:c r="O340" s="72"/>
      <x:c r="P340" s="72"/>
      <x:c r="Q340" s="72"/>
      <x:c r="R340" s="72"/>
      <x:c r="S340" s="73"/>
    </x:row>
    <x:row r="341">
      <x:c r="A341" s="81"/>
      <x:c r="B341" s="72"/>
      <x:c r="C341" s="72"/>
      <x:c r="D341" s="72"/>
      <x:c r="E341" s="72"/>
      <x:c r="F341" s="72"/>
      <x:c r="G341" s="72"/>
      <x:c r="H341" s="72"/>
      <x:c r="I341" s="72"/>
      <x:c r="J341" s="72"/>
      <x:c r="K341" s="72"/>
      <x:c r="L341" s="72"/>
      <x:c r="M341" s="72"/>
      <x:c r="N341" s="72"/>
      <x:c r="O341" s="72"/>
      <x:c r="P341" s="72"/>
      <x:c r="Q341" s="72"/>
      <x:c r="R341" s="72"/>
      <x:c r="S341" s="73"/>
    </x:row>
    <x:row r="342">
      <x:c r="A342" s="81"/>
      <x:c r="B342" s="72"/>
      <x:c r="C342" s="72"/>
      <x:c r="D342" s="72"/>
      <x:c r="E342" s="72"/>
      <x:c r="F342" s="72"/>
      <x:c r="G342" s="72"/>
      <x:c r="H342" s="72"/>
      <x:c r="I342" s="72"/>
      <x:c r="J342" s="72"/>
      <x:c r="K342" s="72"/>
      <x:c r="L342" s="72"/>
      <x:c r="M342" s="72"/>
      <x:c r="N342" s="72"/>
      <x:c r="O342" s="72"/>
      <x:c r="P342" s="72"/>
      <x:c r="Q342" s="72"/>
      <x:c r="R342" s="72"/>
      <x:c r="S342" s="73"/>
    </x:row>
    <x:row r="343">
      <x:c r="A343" s="81"/>
      <x:c r="B343" s="72"/>
      <x:c r="C343" s="72"/>
      <x:c r="D343" s="72"/>
      <x:c r="E343" s="72"/>
      <x:c r="F343" s="72"/>
      <x:c r="G343" s="72"/>
      <x:c r="H343" s="72"/>
      <x:c r="I343" s="72"/>
      <x:c r="J343" s="72"/>
      <x:c r="K343" s="72"/>
      <x:c r="L343" s="72"/>
      <x:c r="M343" s="72"/>
      <x:c r="N343" s="72"/>
      <x:c r="O343" s="72"/>
      <x:c r="P343" s="72"/>
      <x:c r="Q343" s="72"/>
      <x:c r="R343" s="72"/>
      <x:c r="S343" s="73"/>
    </x:row>
    <x:row r="344">
      <x:c r="A344" s="81"/>
      <x:c r="B344" s="72"/>
      <x:c r="C344" s="72"/>
      <x:c r="D344" s="72"/>
      <x:c r="E344" s="72"/>
      <x:c r="F344" s="72"/>
      <x:c r="G344" s="72"/>
      <x:c r="H344" s="72"/>
      <x:c r="I344" s="72"/>
      <x:c r="J344" s="72"/>
      <x:c r="K344" s="72"/>
      <x:c r="L344" s="72"/>
      <x:c r="M344" s="72"/>
      <x:c r="N344" s="72"/>
      <x:c r="O344" s="72"/>
      <x:c r="P344" s="72"/>
      <x:c r="Q344" s="72"/>
      <x:c r="R344" s="72"/>
      <x:c r="S344" s="73"/>
    </x:row>
    <x:row r="345">
      <x:c r="A345" s="81"/>
      <x:c r="B345" s="72"/>
      <x:c r="C345" s="72"/>
      <x:c r="D345" s="72"/>
      <x:c r="E345" s="72"/>
      <x:c r="F345" s="72"/>
      <x:c r="G345" s="72"/>
      <x:c r="H345" s="72"/>
      <x:c r="I345" s="72"/>
      <x:c r="J345" s="72"/>
      <x:c r="K345" s="72"/>
      <x:c r="L345" s="72"/>
      <x:c r="M345" s="72"/>
      <x:c r="N345" s="72"/>
      <x:c r="O345" s="72"/>
      <x:c r="P345" s="72"/>
      <x:c r="Q345" s="72"/>
      <x:c r="R345" s="72"/>
      <x:c r="S345" s="73"/>
    </x:row>
    <x:row r="346">
      <x:c r="A346" s="81"/>
      <x:c r="B346" s="72"/>
      <x:c r="C346" s="72"/>
      <x:c r="D346" s="72"/>
      <x:c r="E346" s="72"/>
      <x:c r="F346" s="72"/>
      <x:c r="G346" s="72"/>
      <x:c r="H346" s="72"/>
      <x:c r="I346" s="72"/>
      <x:c r="J346" s="72"/>
      <x:c r="K346" s="72"/>
      <x:c r="L346" s="72"/>
      <x:c r="M346" s="72"/>
      <x:c r="N346" s="72"/>
      <x:c r="O346" s="72"/>
      <x:c r="P346" s="72"/>
      <x:c r="Q346" s="72"/>
      <x:c r="R346" s="72"/>
      <x:c r="S346" s="73"/>
    </x:row>
    <x:row r="347">
      <x:c r="A347" s="81"/>
      <x:c r="B347" s="72"/>
      <x:c r="C347" s="72"/>
      <x:c r="D347" s="72"/>
      <x:c r="E347" s="72"/>
      <x:c r="F347" s="72"/>
      <x:c r="G347" s="72"/>
      <x:c r="H347" s="72"/>
      <x:c r="I347" s="72"/>
      <x:c r="J347" s="72"/>
      <x:c r="K347" s="72"/>
      <x:c r="L347" s="72"/>
      <x:c r="M347" s="72"/>
      <x:c r="N347" s="72"/>
      <x:c r="O347" s="72"/>
      <x:c r="P347" s="72"/>
      <x:c r="Q347" s="72"/>
      <x:c r="R347" s="72"/>
      <x:c r="S347" s="73"/>
    </x:row>
    <x:row r="348">
      <x:c r="A348" s="81"/>
      <x:c r="B348" s="72"/>
      <x:c r="C348" s="72"/>
      <x:c r="D348" s="72"/>
      <x:c r="E348" s="72"/>
      <x:c r="F348" s="72"/>
      <x:c r="G348" s="72"/>
      <x:c r="H348" s="72"/>
      <x:c r="I348" s="72"/>
      <x:c r="J348" s="72"/>
      <x:c r="K348" s="72"/>
      <x:c r="L348" s="72"/>
      <x:c r="M348" s="72"/>
      <x:c r="N348" s="72"/>
      <x:c r="O348" s="72"/>
      <x:c r="P348" s="72"/>
      <x:c r="Q348" s="72"/>
      <x:c r="R348" s="72"/>
      <x:c r="S348" s="73"/>
    </x:row>
    <x:row r="349">
      <x:c r="A349" s="81"/>
      <x:c r="B349" s="72"/>
      <x:c r="C349" s="72"/>
      <x:c r="D349" s="72"/>
      <x:c r="E349" s="72"/>
      <x:c r="F349" s="72"/>
      <x:c r="G349" s="72"/>
      <x:c r="H349" s="72"/>
      <x:c r="I349" s="72"/>
      <x:c r="J349" s="72"/>
      <x:c r="K349" s="72"/>
      <x:c r="L349" s="72"/>
      <x:c r="M349" s="72"/>
      <x:c r="N349" s="72"/>
      <x:c r="O349" s="72"/>
      <x:c r="P349" s="72"/>
      <x:c r="Q349" s="72"/>
      <x:c r="R349" s="72"/>
      <x:c r="S349" s="73"/>
    </x:row>
    <x:row r="350">
      <x:c r="A350" s="81"/>
      <x:c r="B350" s="72"/>
      <x:c r="C350" s="72"/>
      <x:c r="D350" s="72"/>
      <x:c r="E350" s="72"/>
      <x:c r="F350" s="72"/>
      <x:c r="G350" s="72"/>
      <x:c r="H350" s="72"/>
      <x:c r="I350" s="72"/>
      <x:c r="J350" s="72"/>
      <x:c r="K350" s="72"/>
      <x:c r="L350" s="72"/>
      <x:c r="M350" s="72"/>
      <x:c r="N350" s="72"/>
      <x:c r="O350" s="72"/>
      <x:c r="P350" s="72"/>
      <x:c r="Q350" s="72"/>
      <x:c r="R350" s="72"/>
      <x:c r="S350" s="73"/>
    </x:row>
    <x:row r="351">
      <x:c r="A351" s="81"/>
      <x:c r="B351" s="72"/>
      <x:c r="C351" s="72"/>
      <x:c r="D351" s="72"/>
      <x:c r="E351" s="72"/>
      <x:c r="F351" s="72"/>
      <x:c r="G351" s="72"/>
      <x:c r="H351" s="72"/>
      <x:c r="I351" s="72"/>
      <x:c r="J351" s="72"/>
      <x:c r="K351" s="72"/>
      <x:c r="L351" s="72"/>
      <x:c r="M351" s="72"/>
      <x:c r="N351" s="72"/>
      <x:c r="O351" s="72"/>
      <x:c r="P351" s="72"/>
      <x:c r="Q351" s="72"/>
      <x:c r="R351" s="72"/>
      <x:c r="S351" s="73"/>
    </x:row>
    <x:row r="352">
      <x:c r="A352" s="81"/>
      <x:c r="B352" s="72"/>
      <x:c r="C352" s="72"/>
      <x:c r="D352" s="72"/>
      <x:c r="E352" s="72"/>
      <x:c r="F352" s="72"/>
      <x:c r="G352" s="72"/>
      <x:c r="H352" s="72"/>
      <x:c r="I352" s="72"/>
      <x:c r="J352" s="72"/>
      <x:c r="K352" s="72"/>
      <x:c r="L352" s="72"/>
      <x:c r="M352" s="72"/>
      <x:c r="N352" s="72"/>
      <x:c r="O352" s="72"/>
      <x:c r="P352" s="72"/>
      <x:c r="Q352" s="72"/>
      <x:c r="R352" s="72"/>
      <x:c r="S352" s="73"/>
    </x:row>
    <x:row r="353">
      <x:c r="A353" s="81"/>
      <x:c r="B353" s="72"/>
      <x:c r="C353" s="72"/>
      <x:c r="D353" s="72"/>
      <x:c r="E353" s="72"/>
      <x:c r="F353" s="72"/>
      <x:c r="G353" s="72"/>
      <x:c r="H353" s="72"/>
      <x:c r="I353" s="72"/>
      <x:c r="J353" s="72"/>
      <x:c r="K353" s="72"/>
      <x:c r="L353" s="72"/>
      <x:c r="M353" s="72"/>
      <x:c r="N353" s="72"/>
      <x:c r="O353" s="72"/>
      <x:c r="P353" s="72"/>
      <x:c r="Q353" s="72"/>
      <x:c r="R353" s="72"/>
      <x:c r="S353" s="73"/>
    </x:row>
    <x:row r="354">
      <x:c r="A354" s="81"/>
      <x:c r="B354" s="72"/>
      <x:c r="C354" s="72"/>
      <x:c r="D354" s="72"/>
      <x:c r="E354" s="72"/>
      <x:c r="F354" s="72"/>
      <x:c r="G354" s="72"/>
      <x:c r="H354" s="72"/>
      <x:c r="I354" s="72"/>
      <x:c r="J354" s="72"/>
      <x:c r="K354" s="72"/>
      <x:c r="L354" s="72"/>
      <x:c r="M354" s="72"/>
      <x:c r="N354" s="72"/>
      <x:c r="O354" s="72"/>
      <x:c r="P354" s="72"/>
      <x:c r="Q354" s="72"/>
      <x:c r="R354" s="72"/>
      <x:c r="S354" s="73"/>
    </x:row>
    <x:row r="355">
      <x:c r="A355" s="81"/>
      <x:c r="B355" s="72"/>
      <x:c r="C355" s="72"/>
      <x:c r="D355" s="72"/>
      <x:c r="E355" s="72"/>
      <x:c r="F355" s="72"/>
      <x:c r="G355" s="72"/>
      <x:c r="H355" s="72"/>
      <x:c r="I355" s="72"/>
      <x:c r="J355" s="72"/>
      <x:c r="K355" s="72"/>
      <x:c r="L355" s="72"/>
      <x:c r="M355" s="72"/>
      <x:c r="N355" s="72"/>
      <x:c r="O355" s="72"/>
      <x:c r="P355" s="72"/>
      <x:c r="Q355" s="72"/>
      <x:c r="R355" s="72"/>
      <x:c r="S355" s="73"/>
    </x:row>
    <x:row r="356">
      <x:c r="A356" s="81"/>
      <x:c r="B356" s="72"/>
      <x:c r="C356" s="72"/>
      <x:c r="D356" s="72"/>
      <x:c r="E356" s="72"/>
      <x:c r="F356" s="72"/>
      <x:c r="G356" s="72"/>
      <x:c r="H356" s="72"/>
      <x:c r="I356" s="72"/>
      <x:c r="J356" s="72"/>
      <x:c r="K356" s="72"/>
      <x:c r="L356" s="72"/>
      <x:c r="M356" s="72"/>
      <x:c r="N356" s="72"/>
      <x:c r="O356" s="72"/>
      <x:c r="P356" s="72"/>
      <x:c r="Q356" s="72"/>
      <x:c r="R356" s="72"/>
      <x:c r="S356" s="73"/>
    </x:row>
    <x:row r="357">
      <x:c r="A357" s="81"/>
      <x:c r="B357" s="72"/>
      <x:c r="C357" s="72"/>
      <x:c r="D357" s="72"/>
      <x:c r="E357" s="72"/>
      <x:c r="F357" s="72"/>
      <x:c r="G357" s="72"/>
      <x:c r="H357" s="72"/>
      <x:c r="I357" s="72"/>
      <x:c r="J357" s="72"/>
      <x:c r="K357" s="72"/>
      <x:c r="L357" s="72"/>
      <x:c r="M357" s="72"/>
      <x:c r="N357" s="72"/>
      <x:c r="O357" s="72"/>
      <x:c r="P357" s="72"/>
      <x:c r="Q357" s="72"/>
      <x:c r="R357" s="72"/>
      <x:c r="S357" s="73"/>
    </x:row>
    <x:row r="358">
      <x:c r="A358" s="81"/>
      <x:c r="B358" s="72"/>
      <x:c r="C358" s="72"/>
      <x:c r="D358" s="72"/>
      <x:c r="E358" s="72"/>
      <x:c r="F358" s="72"/>
      <x:c r="G358" s="72"/>
      <x:c r="H358" s="72"/>
      <x:c r="I358" s="72"/>
      <x:c r="J358" s="72"/>
      <x:c r="K358" s="72"/>
      <x:c r="L358" s="72"/>
      <x:c r="M358" s="72"/>
      <x:c r="N358" s="72"/>
      <x:c r="O358" s="72"/>
      <x:c r="P358" s="72"/>
      <x:c r="Q358" s="72"/>
      <x:c r="R358" s="72"/>
      <x:c r="S358" s="73"/>
    </x:row>
    <x:row r="359">
      <x:c r="A359" s="81"/>
      <x:c r="B359" s="72"/>
      <x:c r="C359" s="72"/>
      <x:c r="D359" s="72"/>
      <x:c r="E359" s="72"/>
      <x:c r="F359" s="72"/>
      <x:c r="G359" s="72"/>
      <x:c r="H359" s="72"/>
      <x:c r="I359" s="72"/>
      <x:c r="J359" s="72"/>
      <x:c r="K359" s="72"/>
      <x:c r="L359" s="72"/>
      <x:c r="M359" s="72"/>
      <x:c r="N359" s="72"/>
      <x:c r="O359" s="72"/>
      <x:c r="P359" s="72"/>
      <x:c r="Q359" s="72"/>
      <x:c r="R359" s="72"/>
      <x:c r="S359" s="73"/>
    </x:row>
    <x:row r="360">
      <x:c r="A360" s="81"/>
      <x:c r="B360" s="72"/>
      <x:c r="C360" s="72"/>
      <x:c r="D360" s="72"/>
      <x:c r="E360" s="72"/>
      <x:c r="F360" s="72"/>
      <x:c r="G360" s="72"/>
      <x:c r="H360" s="72"/>
      <x:c r="I360" s="72"/>
      <x:c r="J360" s="72"/>
      <x:c r="K360" s="72"/>
      <x:c r="L360" s="72"/>
      <x:c r="M360" s="72"/>
      <x:c r="N360" s="72"/>
      <x:c r="O360" s="72"/>
      <x:c r="P360" s="72"/>
      <x:c r="Q360" s="72"/>
      <x:c r="R360" s="72"/>
      <x:c r="S360" s="73"/>
    </x:row>
    <x:row r="361">
      <x:c r="A361" s="81"/>
      <x:c r="B361" s="72"/>
      <x:c r="C361" s="72"/>
      <x:c r="D361" s="72"/>
      <x:c r="E361" s="72"/>
      <x:c r="F361" s="72"/>
      <x:c r="G361" s="72"/>
      <x:c r="H361" s="72"/>
      <x:c r="I361" s="72"/>
      <x:c r="J361" s="72"/>
      <x:c r="K361" s="72"/>
      <x:c r="L361" s="72"/>
      <x:c r="M361" s="72"/>
      <x:c r="N361" s="72"/>
      <x:c r="O361" s="72"/>
      <x:c r="P361" s="72"/>
      <x:c r="Q361" s="72"/>
      <x:c r="R361" s="72"/>
      <x:c r="S361" s="73"/>
    </x:row>
    <x:row r="362">
      <x:c r="A362" s="81"/>
      <x:c r="B362" s="72"/>
      <x:c r="C362" s="72"/>
      <x:c r="D362" s="72"/>
      <x:c r="E362" s="72"/>
      <x:c r="F362" s="72"/>
      <x:c r="G362" s="72"/>
      <x:c r="H362" s="72"/>
      <x:c r="I362" s="72"/>
      <x:c r="J362" s="72"/>
      <x:c r="K362" s="72"/>
      <x:c r="L362" s="72"/>
      <x:c r="M362" s="72"/>
      <x:c r="N362" s="72"/>
      <x:c r="O362" s="72"/>
      <x:c r="P362" s="72"/>
      <x:c r="Q362" s="72"/>
      <x:c r="R362" s="72"/>
      <x:c r="S362" s="73"/>
    </x:row>
    <x:row r="363">
      <x:c r="A363" s="81"/>
      <x:c r="B363" s="72"/>
      <x:c r="C363" s="72"/>
      <x:c r="D363" s="72"/>
      <x:c r="E363" s="72"/>
      <x:c r="F363" s="72"/>
      <x:c r="G363" s="72"/>
      <x:c r="H363" s="72"/>
      <x:c r="I363" s="72"/>
      <x:c r="J363" s="72"/>
      <x:c r="K363" s="72"/>
      <x:c r="L363" s="72"/>
      <x:c r="M363" s="72"/>
      <x:c r="N363" s="72"/>
      <x:c r="O363" s="72"/>
      <x:c r="P363" s="72"/>
      <x:c r="Q363" s="72"/>
      <x:c r="R363" s="72"/>
      <x:c r="S363" s="73"/>
    </x:row>
    <x:row r="364">
      <x:c r="A364" s="81"/>
      <x:c r="B364" s="72"/>
      <x:c r="C364" s="72"/>
      <x:c r="D364" s="72"/>
      <x:c r="E364" s="72"/>
      <x:c r="F364" s="72"/>
      <x:c r="G364" s="72"/>
      <x:c r="H364" s="72"/>
      <x:c r="I364" s="72"/>
      <x:c r="J364" s="72"/>
      <x:c r="K364" s="72"/>
      <x:c r="L364" s="72"/>
      <x:c r="M364" s="72"/>
      <x:c r="N364" s="72"/>
      <x:c r="O364" s="72"/>
      <x:c r="P364" s="72"/>
      <x:c r="Q364" s="72"/>
      <x:c r="R364" s="72"/>
      <x:c r="S364" s="73"/>
    </x:row>
    <x:row r="365">
      <x:c r="A365" s="81"/>
      <x:c r="B365" s="72"/>
      <x:c r="C365" s="72"/>
      <x:c r="D365" s="72"/>
      <x:c r="E365" s="72"/>
      <x:c r="F365" s="72"/>
      <x:c r="G365" s="72"/>
      <x:c r="H365" s="72"/>
      <x:c r="I365" s="72"/>
      <x:c r="J365" s="72"/>
      <x:c r="K365" s="72"/>
      <x:c r="L365" s="72"/>
      <x:c r="M365" s="72"/>
      <x:c r="N365" s="72"/>
      <x:c r="O365" s="72"/>
      <x:c r="P365" s="72"/>
      <x:c r="Q365" s="72"/>
      <x:c r="R365" s="72"/>
      <x:c r="S365" s="73"/>
    </x:row>
    <x:row r="366">
      <x:c r="A366" s="81"/>
      <x:c r="B366" s="72"/>
      <x:c r="C366" s="72"/>
      <x:c r="D366" s="72"/>
      <x:c r="E366" s="72"/>
      <x:c r="F366" s="72"/>
      <x:c r="G366" s="72"/>
      <x:c r="H366" s="72"/>
      <x:c r="I366" s="72"/>
      <x:c r="J366" s="72"/>
      <x:c r="K366" s="72"/>
      <x:c r="L366" s="72"/>
      <x:c r="M366" s="72"/>
      <x:c r="N366" s="72"/>
      <x:c r="O366" s="72"/>
      <x:c r="P366" s="72"/>
      <x:c r="Q366" s="72"/>
      <x:c r="R366" s="72"/>
      <x:c r="S366" s="73"/>
    </x:row>
    <x:row r="367">
      <x:c r="A367" s="81"/>
      <x:c r="B367" s="72"/>
      <x:c r="C367" s="72"/>
      <x:c r="D367" s="72"/>
      <x:c r="E367" s="72"/>
      <x:c r="F367" s="72"/>
      <x:c r="G367" s="72"/>
      <x:c r="H367" s="72"/>
      <x:c r="I367" s="72"/>
      <x:c r="J367" s="72"/>
      <x:c r="K367" s="72"/>
      <x:c r="L367" s="72"/>
      <x:c r="M367" s="72"/>
      <x:c r="N367" s="72"/>
      <x:c r="O367" s="72"/>
      <x:c r="P367" s="72"/>
      <x:c r="Q367" s="72"/>
      <x:c r="R367" s="72"/>
      <x:c r="S367" s="73"/>
    </x:row>
    <x:row r="368">
      <x:c r="A368" s="81"/>
      <x:c r="B368" s="72"/>
      <x:c r="C368" s="72"/>
      <x:c r="D368" s="72"/>
      <x:c r="E368" s="72"/>
      <x:c r="F368" s="72"/>
      <x:c r="G368" s="72"/>
      <x:c r="H368" s="72"/>
      <x:c r="I368" s="72"/>
      <x:c r="J368" s="72"/>
      <x:c r="K368" s="72"/>
      <x:c r="L368" s="72"/>
      <x:c r="M368" s="72"/>
      <x:c r="N368" s="72"/>
      <x:c r="O368" s="72"/>
      <x:c r="P368" s="72"/>
      <x:c r="Q368" s="72"/>
      <x:c r="R368" s="72"/>
      <x:c r="S368" s="73"/>
    </x:row>
    <x:row r="369">
      <x:c r="A369" s="81"/>
      <x:c r="B369" s="72"/>
      <x:c r="C369" s="72"/>
      <x:c r="D369" s="72"/>
      <x:c r="E369" s="72"/>
      <x:c r="F369" s="72"/>
      <x:c r="G369" s="72"/>
      <x:c r="H369" s="72"/>
      <x:c r="I369" s="72"/>
      <x:c r="J369" s="72"/>
      <x:c r="K369" s="72"/>
      <x:c r="L369" s="72"/>
      <x:c r="M369" s="72"/>
      <x:c r="N369" s="72"/>
      <x:c r="O369" s="72"/>
      <x:c r="P369" s="72"/>
      <x:c r="Q369" s="72"/>
      <x:c r="R369" s="72"/>
      <x:c r="S369" s="73"/>
    </x:row>
    <x:row r="370">
      <x:c r="A370" s="81"/>
      <x:c r="B370" s="72"/>
      <x:c r="C370" s="72"/>
      <x:c r="D370" s="72"/>
      <x:c r="E370" s="72"/>
      <x:c r="F370" s="72"/>
      <x:c r="G370" s="72"/>
      <x:c r="H370" s="72"/>
      <x:c r="I370" s="72"/>
      <x:c r="J370" s="72"/>
      <x:c r="K370" s="72"/>
      <x:c r="L370" s="72"/>
      <x:c r="M370" s="72"/>
      <x:c r="N370" s="72"/>
      <x:c r="O370" s="72"/>
      <x:c r="P370" s="72"/>
      <x:c r="Q370" s="72"/>
      <x:c r="R370" s="72"/>
      <x:c r="S370" s="73"/>
    </x:row>
    <x:row r="371">
      <x:c r="A371" s="81"/>
      <x:c r="B371" s="72"/>
      <x:c r="C371" s="72"/>
      <x:c r="D371" s="72"/>
      <x:c r="E371" s="72"/>
      <x:c r="F371" s="72"/>
      <x:c r="G371" s="72"/>
      <x:c r="H371" s="72"/>
      <x:c r="I371" s="72"/>
      <x:c r="J371" s="72"/>
      <x:c r="K371" s="72"/>
      <x:c r="L371" s="72"/>
      <x:c r="M371" s="72"/>
      <x:c r="N371" s="72"/>
      <x:c r="O371" s="72"/>
      <x:c r="P371" s="72"/>
      <x:c r="Q371" s="72"/>
      <x:c r="R371" s="72"/>
      <x:c r="S371" s="73"/>
    </x:row>
    <x:row r="372">
      <x:c r="A372" s="81"/>
      <x:c r="B372" s="72"/>
      <x:c r="C372" s="72"/>
      <x:c r="D372" s="72"/>
      <x:c r="E372" s="72"/>
      <x:c r="F372" s="72"/>
      <x:c r="G372" s="72"/>
      <x:c r="H372" s="72"/>
      <x:c r="I372" s="72"/>
      <x:c r="J372" s="72"/>
      <x:c r="K372" s="72"/>
      <x:c r="L372" s="72"/>
      <x:c r="M372" s="72"/>
      <x:c r="N372" s="72"/>
      <x:c r="O372" s="72"/>
      <x:c r="P372" s="72"/>
      <x:c r="Q372" s="72"/>
      <x:c r="R372" s="72"/>
      <x:c r="S372" s="73"/>
    </x:row>
    <x:row r="373">
      <x:c r="A373" s="81"/>
      <x:c r="B373" s="72"/>
      <x:c r="C373" s="72"/>
      <x:c r="D373" s="72"/>
      <x:c r="E373" s="72"/>
      <x:c r="F373" s="72"/>
      <x:c r="G373" s="72"/>
      <x:c r="H373" s="72"/>
      <x:c r="I373" s="72"/>
      <x:c r="J373" s="72"/>
      <x:c r="K373" s="72"/>
      <x:c r="L373" s="72"/>
      <x:c r="M373" s="72"/>
      <x:c r="N373" s="72"/>
      <x:c r="O373" s="72"/>
      <x:c r="P373" s="72"/>
      <x:c r="Q373" s="72"/>
      <x:c r="R373" s="72"/>
      <x:c r="S373" s="73"/>
    </x:row>
    <x:row r="374">
      <x:c r="A374" s="81"/>
      <x:c r="B374" s="72"/>
      <x:c r="C374" s="72"/>
      <x:c r="D374" s="72"/>
      <x:c r="E374" s="72"/>
      <x:c r="F374" s="72"/>
      <x:c r="G374" s="72"/>
      <x:c r="H374" s="72"/>
      <x:c r="I374" s="72"/>
      <x:c r="J374" s="72"/>
      <x:c r="K374" s="72"/>
      <x:c r="L374" s="72"/>
      <x:c r="M374" s="72"/>
      <x:c r="N374" s="72"/>
      <x:c r="O374" s="72"/>
      <x:c r="P374" s="72"/>
      <x:c r="Q374" s="72"/>
      <x:c r="R374" s="72"/>
      <x:c r="S374" s="73"/>
    </x:row>
    <x:row r="375">
      <x:c r="A375" s="81"/>
      <x:c r="B375" s="72"/>
      <x:c r="C375" s="72"/>
      <x:c r="D375" s="72"/>
      <x:c r="E375" s="72"/>
      <x:c r="F375" s="72"/>
      <x:c r="G375" s="72"/>
      <x:c r="H375" s="72"/>
      <x:c r="I375" s="72"/>
      <x:c r="J375" s="72"/>
      <x:c r="K375" s="72"/>
      <x:c r="L375" s="72"/>
      <x:c r="M375" s="72"/>
      <x:c r="N375" s="72"/>
      <x:c r="O375" s="72"/>
      <x:c r="P375" s="72"/>
      <x:c r="Q375" s="72"/>
      <x:c r="R375" s="72"/>
      <x:c r="S375" s="73"/>
    </x:row>
    <x:row r="376">
      <x:c r="A376" s="81"/>
      <x:c r="B376" s="72"/>
      <x:c r="C376" s="72"/>
      <x:c r="D376" s="72"/>
      <x:c r="E376" s="72"/>
      <x:c r="F376" s="72"/>
      <x:c r="G376" s="72"/>
      <x:c r="H376" s="72"/>
      <x:c r="I376" s="72"/>
      <x:c r="J376" s="72"/>
      <x:c r="K376" s="72"/>
      <x:c r="L376" s="72"/>
      <x:c r="M376" s="72"/>
      <x:c r="N376" s="72"/>
      <x:c r="O376" s="72"/>
      <x:c r="P376" s="72"/>
      <x:c r="Q376" s="72"/>
      <x:c r="R376" s="72"/>
      <x:c r="S376" s="73"/>
    </x:row>
    <x:row r="377">
      <x:c r="A377" s="81"/>
      <x:c r="B377" s="72"/>
      <x:c r="C377" s="72"/>
      <x:c r="D377" s="72"/>
      <x:c r="E377" s="72"/>
      <x:c r="F377" s="72"/>
      <x:c r="G377" s="72"/>
      <x:c r="H377" s="72"/>
      <x:c r="I377" s="72"/>
      <x:c r="J377" s="72"/>
      <x:c r="K377" s="72"/>
      <x:c r="L377" s="72"/>
      <x:c r="M377" s="72"/>
      <x:c r="N377" s="72"/>
      <x:c r="O377" s="72"/>
      <x:c r="P377" s="72"/>
      <x:c r="Q377" s="72"/>
      <x:c r="R377" s="72"/>
      <x:c r="S377" s="73"/>
    </x:row>
    <x:row r="378">
      <x:c r="A378" s="81"/>
      <x:c r="B378" s="72"/>
      <x:c r="C378" s="72"/>
      <x:c r="D378" s="72"/>
      <x:c r="E378" s="72"/>
      <x:c r="F378" s="72"/>
      <x:c r="G378" s="72"/>
      <x:c r="H378" s="72"/>
      <x:c r="I378" s="72"/>
      <x:c r="J378" s="72"/>
      <x:c r="K378" s="72"/>
      <x:c r="L378" s="72"/>
      <x:c r="M378" s="72"/>
      <x:c r="N378" s="72"/>
      <x:c r="O378" s="72"/>
      <x:c r="P378" s="72"/>
      <x:c r="Q378" s="72"/>
      <x:c r="R378" s="72"/>
      <x:c r="S378" s="73"/>
    </x:row>
    <x:row r="379">
      <x:c r="A379" s="81"/>
      <x:c r="B379" s="72"/>
      <x:c r="C379" s="72"/>
      <x:c r="D379" s="72"/>
      <x:c r="E379" s="72"/>
      <x:c r="F379" s="72"/>
      <x:c r="G379" s="72"/>
      <x:c r="H379" s="72"/>
      <x:c r="I379" s="72"/>
      <x:c r="J379" s="72"/>
      <x:c r="K379" s="72"/>
      <x:c r="L379" s="72"/>
      <x:c r="M379" s="72"/>
      <x:c r="N379" s="72"/>
      <x:c r="O379" s="72"/>
      <x:c r="P379" s="72"/>
      <x:c r="Q379" s="72"/>
      <x:c r="R379" s="72"/>
      <x:c r="S379" s="73"/>
    </x:row>
    <x:row r="380">
      <x:c r="A380" s="81"/>
      <x:c r="B380" s="72"/>
      <x:c r="C380" s="72"/>
      <x:c r="D380" s="72"/>
      <x:c r="E380" s="72"/>
      <x:c r="F380" s="72"/>
      <x:c r="G380" s="72"/>
      <x:c r="H380" s="72"/>
      <x:c r="I380" s="72"/>
      <x:c r="J380" s="72"/>
      <x:c r="K380" s="72"/>
      <x:c r="L380" s="72"/>
      <x:c r="M380" s="72"/>
      <x:c r="N380" s="72"/>
      <x:c r="O380" s="72"/>
      <x:c r="P380" s="72"/>
      <x:c r="Q380" s="72"/>
      <x:c r="R380" s="72"/>
      <x:c r="S380" s="73"/>
    </x:row>
    <x:row r="381">
      <x:c r="A381" s="81"/>
      <x:c r="B381" s="72"/>
      <x:c r="C381" s="72"/>
      <x:c r="D381" s="72"/>
      <x:c r="E381" s="72"/>
      <x:c r="F381" s="72"/>
      <x:c r="G381" s="72"/>
      <x:c r="H381" s="72"/>
      <x:c r="I381" s="72"/>
      <x:c r="J381" s="72"/>
      <x:c r="K381" s="72"/>
      <x:c r="L381" s="72"/>
      <x:c r="M381" s="72"/>
      <x:c r="N381" s="72"/>
      <x:c r="O381" s="72"/>
      <x:c r="P381" s="72"/>
      <x:c r="Q381" s="72"/>
      <x:c r="R381" s="72"/>
      <x:c r="S381" s="73"/>
    </x:row>
    <x:row r="382">
      <x:c r="A382" s="81"/>
      <x:c r="B382" s="72"/>
      <x:c r="C382" s="72"/>
      <x:c r="D382" s="72"/>
      <x:c r="E382" s="72"/>
      <x:c r="F382" s="72"/>
      <x:c r="G382" s="72"/>
      <x:c r="H382" s="72"/>
      <x:c r="I382" s="72"/>
      <x:c r="J382" s="72"/>
      <x:c r="K382" s="72"/>
      <x:c r="L382" s="72"/>
      <x:c r="M382" s="72"/>
      <x:c r="N382" s="72"/>
      <x:c r="O382" s="72"/>
      <x:c r="P382" s="72"/>
      <x:c r="Q382" s="72"/>
      <x:c r="R382" s="72"/>
      <x:c r="S382" s="73"/>
    </x:row>
    <x:row r="383">
      <x:c r="A383" s="81"/>
      <x:c r="B383" s="72"/>
      <x:c r="C383" s="72"/>
      <x:c r="D383" s="72"/>
      <x:c r="E383" s="72"/>
      <x:c r="F383" s="72"/>
      <x:c r="G383" s="72"/>
      <x:c r="H383" s="72"/>
      <x:c r="I383" s="72"/>
      <x:c r="J383" s="72"/>
      <x:c r="K383" s="72"/>
      <x:c r="L383" s="72"/>
      <x:c r="M383" s="72"/>
      <x:c r="N383" s="72"/>
      <x:c r="O383" s="72"/>
      <x:c r="P383" s="72"/>
      <x:c r="Q383" s="72"/>
      <x:c r="R383" s="72"/>
      <x:c r="S383" s="73"/>
    </x:row>
    <x:row r="384">
      <x:c r="A384" s="81"/>
      <x:c r="B384" s="72"/>
      <x:c r="C384" s="72"/>
      <x:c r="D384" s="72"/>
      <x:c r="E384" s="72"/>
      <x:c r="F384" s="72"/>
      <x:c r="G384" s="72"/>
      <x:c r="H384" s="72"/>
      <x:c r="I384" s="72"/>
      <x:c r="J384" s="72"/>
      <x:c r="K384" s="72"/>
      <x:c r="L384" s="72"/>
      <x:c r="M384" s="72"/>
      <x:c r="N384" s="72"/>
      <x:c r="O384" s="72"/>
      <x:c r="P384" s="72"/>
      <x:c r="Q384" s="72"/>
      <x:c r="R384" s="72"/>
      <x:c r="S384" s="73"/>
    </x:row>
    <x:row r="385">
      <x:c r="A385" s="81"/>
      <x:c r="B385" s="72"/>
      <x:c r="C385" s="72"/>
      <x:c r="D385" s="72"/>
      <x:c r="E385" s="72"/>
      <x:c r="F385" s="72"/>
      <x:c r="G385" s="72"/>
      <x:c r="H385" s="72"/>
      <x:c r="I385" s="72"/>
      <x:c r="J385" s="72"/>
      <x:c r="K385" s="72"/>
      <x:c r="L385" s="72"/>
      <x:c r="M385" s="72"/>
      <x:c r="N385" s="72"/>
      <x:c r="O385" s="72"/>
      <x:c r="P385" s="72"/>
      <x:c r="Q385" s="72"/>
      <x:c r="R385" s="72"/>
      <x:c r="S385" s="73"/>
    </x:row>
    <x:row r="386">
      <x:c r="A386" s="81"/>
      <x:c r="B386" s="72"/>
      <x:c r="C386" s="72"/>
      <x:c r="D386" s="72"/>
      <x:c r="E386" s="72"/>
      <x:c r="F386" s="72"/>
      <x:c r="G386" s="72"/>
      <x:c r="H386" s="72"/>
      <x:c r="I386" s="72"/>
      <x:c r="J386" s="72"/>
      <x:c r="K386" s="72"/>
      <x:c r="L386" s="72"/>
      <x:c r="M386" s="72"/>
      <x:c r="N386" s="72"/>
      <x:c r="O386" s="72"/>
      <x:c r="P386" s="72"/>
      <x:c r="Q386" s="72"/>
      <x:c r="R386" s="72"/>
      <x:c r="S386" s="73"/>
    </x:row>
    <x:row r="387">
      <x:c r="A387" s="81"/>
      <x:c r="B387" s="72"/>
      <x:c r="C387" s="72"/>
      <x:c r="D387" s="72"/>
      <x:c r="E387" s="72"/>
      <x:c r="F387" s="72"/>
      <x:c r="G387" s="72"/>
      <x:c r="H387" s="72"/>
      <x:c r="I387" s="72"/>
      <x:c r="J387" s="72"/>
      <x:c r="K387" s="72"/>
      <x:c r="L387" s="72"/>
      <x:c r="M387" s="72"/>
      <x:c r="N387" s="72"/>
      <x:c r="O387" s="72"/>
      <x:c r="P387" s="72"/>
      <x:c r="Q387" s="72"/>
      <x:c r="R387" s="72"/>
      <x:c r="S387" s="73"/>
    </x:row>
    <x:row r="388">
      <x:c r="A388" s="81"/>
      <x:c r="B388" s="72"/>
      <x:c r="C388" s="72"/>
      <x:c r="D388" s="72"/>
      <x:c r="E388" s="72"/>
      <x:c r="F388" s="72"/>
      <x:c r="G388" s="72"/>
      <x:c r="H388" s="72"/>
      <x:c r="I388" s="72"/>
      <x:c r="J388" s="72"/>
      <x:c r="K388" s="72"/>
      <x:c r="L388" s="72"/>
      <x:c r="M388" s="72"/>
      <x:c r="N388" s="72"/>
      <x:c r="O388" s="72"/>
      <x:c r="P388" s="72"/>
      <x:c r="Q388" s="72"/>
      <x:c r="R388" s="72"/>
      <x:c r="S388" s="73"/>
    </x:row>
    <x:row r="389">
      <x:c r="A389" s="81"/>
      <x:c r="B389" s="72"/>
      <x:c r="C389" s="72"/>
      <x:c r="D389" s="72"/>
      <x:c r="E389" s="72"/>
      <x:c r="F389" s="72"/>
      <x:c r="G389" s="72"/>
      <x:c r="H389" s="72"/>
      <x:c r="I389" s="72"/>
      <x:c r="J389" s="72"/>
      <x:c r="K389" s="72"/>
      <x:c r="L389" s="72"/>
      <x:c r="M389" s="72"/>
      <x:c r="N389" s="72"/>
      <x:c r="O389" s="72"/>
      <x:c r="P389" s="72"/>
      <x:c r="Q389" s="72"/>
      <x:c r="R389" s="72"/>
      <x:c r="S389" s="73"/>
    </x:row>
    <x:row r="390">
      <x:c r="A390" s="81"/>
      <x:c r="B390" s="72"/>
      <x:c r="C390" s="72"/>
      <x:c r="D390" s="72"/>
      <x:c r="E390" s="72"/>
      <x:c r="F390" s="72"/>
      <x:c r="G390" s="72"/>
      <x:c r="H390" s="72"/>
      <x:c r="I390" s="72"/>
      <x:c r="J390" s="72"/>
      <x:c r="K390" s="72"/>
      <x:c r="L390" s="72"/>
      <x:c r="M390" s="72"/>
      <x:c r="N390" s="72"/>
      <x:c r="O390" s="72"/>
      <x:c r="P390" s="72"/>
      <x:c r="Q390" s="72"/>
      <x:c r="R390" s="72"/>
      <x:c r="S390" s="73"/>
    </x:row>
    <x:row r="391">
      <x:c r="A391" s="81"/>
      <x:c r="B391" s="72"/>
      <x:c r="C391" s="72"/>
      <x:c r="D391" s="72"/>
      <x:c r="E391" s="72"/>
      <x:c r="F391" s="72"/>
      <x:c r="G391" s="72"/>
      <x:c r="H391" s="72"/>
      <x:c r="I391" s="72"/>
      <x:c r="J391" s="72"/>
      <x:c r="K391" s="72"/>
      <x:c r="L391" s="72"/>
      <x:c r="M391" s="72"/>
      <x:c r="N391" s="72"/>
      <x:c r="O391" s="72"/>
      <x:c r="P391" s="72"/>
      <x:c r="Q391" s="72"/>
      <x:c r="R391" s="72"/>
      <x:c r="S391" s="73"/>
    </x:row>
    <x:row r="392">
      <x:c r="A392" s="81"/>
      <x:c r="B392" s="72"/>
      <x:c r="C392" s="72"/>
      <x:c r="D392" s="72"/>
      <x:c r="E392" s="72"/>
      <x:c r="F392" s="72"/>
      <x:c r="G392" s="72"/>
      <x:c r="H392" s="72"/>
      <x:c r="I392" s="72"/>
      <x:c r="J392" s="72"/>
      <x:c r="K392" s="72"/>
      <x:c r="L392" s="72"/>
      <x:c r="M392" s="72"/>
      <x:c r="N392" s="72"/>
      <x:c r="O392" s="72"/>
      <x:c r="P392" s="72"/>
      <x:c r="Q392" s="72"/>
      <x:c r="R392" s="72"/>
      <x:c r="S392" s="73"/>
    </x:row>
    <x:row r="393">
      <x:c r="A393" s="81"/>
      <x:c r="B393" s="72"/>
      <x:c r="C393" s="72"/>
      <x:c r="D393" s="72"/>
      <x:c r="E393" s="72"/>
      <x:c r="F393" s="72"/>
      <x:c r="G393" s="72"/>
      <x:c r="H393" s="72"/>
      <x:c r="I393" s="72"/>
      <x:c r="J393" s="72"/>
      <x:c r="K393" s="72"/>
      <x:c r="L393" s="72"/>
      <x:c r="M393" s="72"/>
      <x:c r="N393" s="72"/>
      <x:c r="O393" s="72"/>
      <x:c r="P393" s="72"/>
      <x:c r="Q393" s="72"/>
      <x:c r="R393" s="72"/>
      <x:c r="S393" s="73"/>
    </x:row>
    <x:row r="394">
      <x:c r="A394" s="81"/>
      <x:c r="B394" s="72"/>
      <x:c r="C394" s="72"/>
      <x:c r="D394" s="72"/>
      <x:c r="E394" s="72"/>
      <x:c r="F394" s="72"/>
      <x:c r="G394" s="72"/>
      <x:c r="H394" s="72"/>
      <x:c r="I394" s="72"/>
      <x:c r="J394" s="72"/>
      <x:c r="K394" s="72"/>
      <x:c r="L394" s="72"/>
      <x:c r="M394" s="72"/>
      <x:c r="N394" s="72"/>
      <x:c r="O394" s="72"/>
      <x:c r="P394" s="72"/>
      <x:c r="Q394" s="72"/>
      <x:c r="R394" s="72"/>
      <x:c r="S394" s="73"/>
    </x:row>
    <x:row r="395">
      <x:c r="A395" s="81"/>
      <x:c r="B395" s="72"/>
      <x:c r="C395" s="72"/>
      <x:c r="D395" s="72"/>
      <x:c r="E395" s="72"/>
      <x:c r="F395" s="72"/>
      <x:c r="G395" s="72"/>
      <x:c r="H395" s="72"/>
      <x:c r="I395" s="72"/>
      <x:c r="J395" s="72"/>
      <x:c r="K395" s="72"/>
      <x:c r="L395" s="72"/>
      <x:c r="M395" s="72"/>
      <x:c r="N395" s="72"/>
      <x:c r="O395" s="72"/>
      <x:c r="P395" s="72"/>
      <x:c r="Q395" s="72"/>
      <x:c r="R395" s="72"/>
      <x:c r="S395" s="73"/>
    </x:row>
    <x:row r="396">
      <x:c r="A396" s="81"/>
      <x:c r="B396" s="72"/>
      <x:c r="C396" s="72"/>
      <x:c r="D396" s="72"/>
      <x:c r="E396" s="72"/>
      <x:c r="F396" s="72"/>
      <x:c r="G396" s="72"/>
      <x:c r="H396" s="72"/>
      <x:c r="I396" s="72"/>
      <x:c r="J396" s="72"/>
      <x:c r="K396" s="72"/>
      <x:c r="L396" s="72"/>
      <x:c r="M396" s="72"/>
      <x:c r="N396" s="72"/>
      <x:c r="O396" s="72"/>
      <x:c r="P396" s="72"/>
      <x:c r="Q396" s="72"/>
      <x:c r="R396" s="72"/>
      <x:c r="S396" s="73"/>
    </x:row>
    <x:row r="397">
      <x:c r="A397" s="81"/>
      <x:c r="B397" s="72"/>
      <x:c r="C397" s="72"/>
      <x:c r="D397" s="72"/>
      <x:c r="E397" s="72"/>
      <x:c r="F397" s="72"/>
      <x:c r="G397" s="72"/>
      <x:c r="H397" s="72"/>
      <x:c r="I397" s="72"/>
      <x:c r="J397" s="72"/>
      <x:c r="K397" s="72"/>
      <x:c r="L397" s="72"/>
      <x:c r="M397" s="72"/>
      <x:c r="N397" s="72"/>
      <x:c r="O397" s="72"/>
      <x:c r="P397" s="72"/>
      <x:c r="Q397" s="72"/>
      <x:c r="R397" s="72"/>
      <x:c r="S397" s="73"/>
    </x:row>
    <x:row r="398">
      <x:c r="A398" s="81"/>
      <x:c r="B398" s="72"/>
      <x:c r="C398" s="72"/>
      <x:c r="D398" s="72"/>
      <x:c r="E398" s="72"/>
      <x:c r="F398" s="72"/>
      <x:c r="G398" s="72"/>
      <x:c r="H398" s="72"/>
      <x:c r="I398" s="72"/>
      <x:c r="J398" s="72"/>
      <x:c r="K398" s="72"/>
      <x:c r="L398" s="72"/>
      <x:c r="M398" s="72"/>
      <x:c r="N398" s="72"/>
      <x:c r="O398" s="72"/>
      <x:c r="P398" s="72"/>
      <x:c r="Q398" s="72"/>
      <x:c r="R398" s="72"/>
      <x:c r="S398" s="73"/>
    </x:row>
    <x:row r="399">
      <x:c r="A399" s="81"/>
      <x:c r="B399" s="72"/>
      <x:c r="C399" s="72"/>
      <x:c r="D399" s="72"/>
      <x:c r="E399" s="72"/>
      <x:c r="F399" s="72"/>
      <x:c r="G399" s="72"/>
      <x:c r="H399" s="72"/>
      <x:c r="I399" s="72"/>
      <x:c r="J399" s="72"/>
      <x:c r="K399" s="72"/>
      <x:c r="L399" s="72"/>
      <x:c r="M399" s="72"/>
      <x:c r="N399" s="72"/>
      <x:c r="O399" s="72"/>
      <x:c r="P399" s="72"/>
      <x:c r="Q399" s="72"/>
      <x:c r="R399" s="72"/>
      <x:c r="S399" s="73"/>
    </x:row>
    <x:row r="400">
      <x:c r="A400" s="81"/>
      <x:c r="B400" s="72"/>
      <x:c r="C400" s="72"/>
      <x:c r="D400" s="72"/>
      <x:c r="E400" s="72"/>
      <x:c r="F400" s="72"/>
      <x:c r="G400" s="72"/>
      <x:c r="H400" s="72"/>
      <x:c r="I400" s="72"/>
      <x:c r="J400" s="72"/>
      <x:c r="K400" s="72"/>
      <x:c r="L400" s="72"/>
      <x:c r="M400" s="72"/>
      <x:c r="N400" s="72"/>
      <x:c r="O400" s="72"/>
      <x:c r="P400" s="72"/>
      <x:c r="Q400" s="72"/>
      <x:c r="R400" s="72"/>
      <x:c r="S400" s="73"/>
    </x:row>
    <x:row r="401">
      <x:c r="A401" s="81"/>
      <x:c r="B401" s="72"/>
      <x:c r="C401" s="72"/>
      <x:c r="D401" s="72"/>
      <x:c r="E401" s="72"/>
      <x:c r="F401" s="72"/>
      <x:c r="G401" s="72"/>
      <x:c r="H401" s="72"/>
      <x:c r="I401" s="72"/>
      <x:c r="J401" s="72"/>
      <x:c r="K401" s="72"/>
      <x:c r="L401" s="72"/>
      <x:c r="M401" s="72"/>
      <x:c r="N401" s="72"/>
      <x:c r="O401" s="72"/>
      <x:c r="P401" s="72"/>
      <x:c r="Q401" s="72"/>
      <x:c r="R401" s="72"/>
      <x:c r="S401" s="73"/>
    </x:row>
    <x:row r="402">
      <x:c r="A402" s="81"/>
      <x:c r="B402" s="72"/>
      <x:c r="C402" s="72"/>
      <x:c r="D402" s="72"/>
      <x:c r="E402" s="72"/>
      <x:c r="F402" s="72"/>
      <x:c r="G402" s="72"/>
      <x:c r="H402" s="72"/>
      <x:c r="I402" s="72"/>
      <x:c r="J402" s="72"/>
      <x:c r="K402" s="72"/>
      <x:c r="L402" s="72"/>
      <x:c r="M402" s="72"/>
      <x:c r="N402" s="72"/>
      <x:c r="O402" s="72"/>
      <x:c r="P402" s="72"/>
      <x:c r="Q402" s="72"/>
      <x:c r="R402" s="72"/>
      <x:c r="S402" s="73"/>
    </x:row>
    <x:row r="403">
      <x:c r="A403" s="81"/>
      <x:c r="B403" s="72"/>
      <x:c r="C403" s="72"/>
      <x:c r="D403" s="72"/>
      <x:c r="E403" s="72"/>
      <x:c r="F403" s="72"/>
      <x:c r="G403" s="72"/>
      <x:c r="H403" s="72"/>
      <x:c r="I403" s="72"/>
      <x:c r="J403" s="72"/>
      <x:c r="K403" s="72"/>
      <x:c r="L403" s="72"/>
      <x:c r="M403" s="72"/>
      <x:c r="N403" s="72"/>
      <x:c r="O403" s="72"/>
      <x:c r="P403" s="72"/>
      <x:c r="Q403" s="72"/>
      <x:c r="R403" s="72"/>
      <x:c r="S403" s="73"/>
    </x:row>
    <x:row r="404">
      <x:c r="A404" s="81"/>
      <x:c r="B404" s="72"/>
      <x:c r="C404" s="72"/>
      <x:c r="D404" s="72"/>
      <x:c r="E404" s="72"/>
      <x:c r="F404" s="72"/>
      <x:c r="G404" s="72"/>
      <x:c r="H404" s="72"/>
      <x:c r="I404" s="72"/>
      <x:c r="J404" s="72"/>
      <x:c r="K404" s="72"/>
      <x:c r="L404" s="72"/>
      <x:c r="M404" s="72"/>
      <x:c r="N404" s="72"/>
      <x:c r="O404" s="72"/>
      <x:c r="P404" s="72"/>
      <x:c r="Q404" s="72"/>
      <x:c r="R404" s="72"/>
      <x:c r="S404" s="73"/>
    </x:row>
    <x:row r="405">
      <x:c r="A405" s="81"/>
      <x:c r="B405" s="72"/>
      <x:c r="C405" s="72"/>
      <x:c r="D405" s="72"/>
      <x:c r="E405" s="72"/>
      <x:c r="F405" s="72"/>
      <x:c r="G405" s="72"/>
      <x:c r="H405" s="72"/>
      <x:c r="I405" s="72"/>
      <x:c r="J405" s="72"/>
      <x:c r="K405" s="72"/>
      <x:c r="L405" s="72"/>
      <x:c r="M405" s="72"/>
      <x:c r="N405" s="72"/>
      <x:c r="O405" s="72"/>
      <x:c r="P405" s="72"/>
      <x:c r="Q405" s="72"/>
      <x:c r="R405" s="72"/>
      <x:c r="S405" s="73"/>
    </x:row>
    <x:row r="406">
      <x:c r="A406" s="81"/>
      <x:c r="B406" s="72"/>
      <x:c r="C406" s="72"/>
      <x:c r="D406" s="72"/>
      <x:c r="E406" s="72"/>
      <x:c r="F406" s="72"/>
      <x:c r="G406" s="72"/>
      <x:c r="H406" s="72"/>
      <x:c r="I406" s="72"/>
      <x:c r="J406" s="72"/>
      <x:c r="K406" s="72"/>
      <x:c r="L406" s="72"/>
      <x:c r="M406" s="72"/>
      <x:c r="N406" s="72"/>
      <x:c r="O406" s="72"/>
      <x:c r="P406" s="72"/>
      <x:c r="Q406" s="72"/>
      <x:c r="R406" s="72"/>
      <x:c r="S406" s="73"/>
    </x:row>
    <x:row r="407">
      <x:c r="A407" s="81"/>
      <x:c r="B407" s="72"/>
      <x:c r="C407" s="72"/>
      <x:c r="D407" s="72"/>
      <x:c r="E407" s="72"/>
      <x:c r="F407" s="72"/>
      <x:c r="G407" s="72"/>
      <x:c r="H407" s="72"/>
      <x:c r="I407" s="72"/>
      <x:c r="J407" s="72"/>
      <x:c r="K407" s="72"/>
      <x:c r="L407" s="72"/>
      <x:c r="M407" s="72"/>
      <x:c r="N407" s="72"/>
      <x:c r="O407" s="72"/>
      <x:c r="P407" s="72"/>
      <x:c r="Q407" s="72"/>
      <x:c r="R407" s="72"/>
      <x:c r="S407" s="73"/>
    </x:row>
    <x:row r="408">
      <x:c r="A408" s="81"/>
      <x:c r="B408" s="72"/>
      <x:c r="C408" s="72"/>
      <x:c r="D408" s="72"/>
      <x:c r="E408" s="72"/>
      <x:c r="F408" s="72"/>
      <x:c r="G408" s="72"/>
      <x:c r="H408" s="72"/>
      <x:c r="I408" s="72"/>
      <x:c r="J408" s="72"/>
      <x:c r="K408" s="72"/>
      <x:c r="L408" s="72"/>
      <x:c r="M408" s="72"/>
      <x:c r="N408" s="72"/>
      <x:c r="O408" s="72"/>
      <x:c r="P408" s="72"/>
      <x:c r="Q408" s="72"/>
      <x:c r="R408" s="72"/>
      <x:c r="S408" s="73"/>
    </x:row>
    <x:row r="409">
      <x:c r="A409" s="81"/>
      <x:c r="B409" s="72"/>
      <x:c r="C409" s="72"/>
      <x:c r="D409" s="72"/>
      <x:c r="E409" s="72"/>
      <x:c r="F409" s="72"/>
      <x:c r="G409" s="72"/>
      <x:c r="H409" s="72"/>
      <x:c r="I409" s="72"/>
      <x:c r="J409" s="72"/>
      <x:c r="K409" s="72"/>
      <x:c r="L409" s="72"/>
      <x:c r="M409" s="72"/>
      <x:c r="N409" s="72"/>
      <x:c r="O409" s="72"/>
      <x:c r="P409" s="72"/>
      <x:c r="Q409" s="72"/>
      <x:c r="R409" s="72"/>
      <x:c r="S409" s="73"/>
    </x:row>
    <x:row r="410">
      <x:c r="A410" s="81"/>
      <x:c r="B410" s="72"/>
      <x:c r="C410" s="72"/>
      <x:c r="D410" s="72"/>
      <x:c r="E410" s="72"/>
      <x:c r="F410" s="72"/>
      <x:c r="G410" s="72"/>
      <x:c r="H410" s="72"/>
      <x:c r="I410" s="72"/>
      <x:c r="J410" s="72"/>
      <x:c r="K410" s="72"/>
      <x:c r="L410" s="72"/>
      <x:c r="M410" s="72"/>
      <x:c r="N410" s="72"/>
      <x:c r="O410" s="72"/>
      <x:c r="P410" s="72"/>
      <x:c r="Q410" s="72"/>
      <x:c r="R410" s="72"/>
      <x:c r="S410" s="73"/>
    </x:row>
    <x:row r="411">
      <x:c r="A411" s="81"/>
      <x:c r="B411" s="72"/>
      <x:c r="C411" s="72"/>
      <x:c r="D411" s="72"/>
      <x:c r="E411" s="72"/>
      <x:c r="F411" s="72"/>
      <x:c r="G411" s="72"/>
      <x:c r="H411" s="72"/>
      <x:c r="I411" s="72"/>
      <x:c r="J411" s="72"/>
      <x:c r="K411" s="72"/>
      <x:c r="L411" s="72"/>
      <x:c r="M411" s="72"/>
      <x:c r="N411" s="72"/>
      <x:c r="O411" s="72"/>
      <x:c r="P411" s="72"/>
      <x:c r="Q411" s="72"/>
      <x:c r="R411" s="72"/>
      <x:c r="S411" s="73"/>
    </x:row>
    <x:row r="412">
      <x:c r="A412" s="81"/>
      <x:c r="B412" s="72"/>
      <x:c r="C412" s="72"/>
      <x:c r="D412" s="72"/>
      <x:c r="E412" s="72"/>
      <x:c r="F412" s="72"/>
      <x:c r="G412" s="72"/>
      <x:c r="H412" s="72"/>
      <x:c r="I412" s="72"/>
      <x:c r="J412" s="72"/>
      <x:c r="K412" s="72"/>
      <x:c r="L412" s="72"/>
      <x:c r="M412" s="72"/>
      <x:c r="N412" s="72"/>
      <x:c r="O412" s="72"/>
      <x:c r="P412" s="72"/>
      <x:c r="Q412" s="72"/>
      <x:c r="R412" s="72"/>
      <x:c r="S412" s="73"/>
    </x:row>
    <x:row r="413">
      <x:c r="A413" s="81"/>
      <x:c r="B413" s="72"/>
      <x:c r="C413" s="72"/>
      <x:c r="D413" s="72"/>
      <x:c r="E413" s="72"/>
      <x:c r="F413" s="72"/>
      <x:c r="G413" s="72"/>
      <x:c r="H413" s="72"/>
      <x:c r="I413" s="72"/>
      <x:c r="J413" s="72"/>
      <x:c r="K413" s="72"/>
      <x:c r="L413" s="72"/>
      <x:c r="M413" s="72"/>
      <x:c r="N413" s="72"/>
      <x:c r="O413" s="72"/>
      <x:c r="P413" s="72"/>
      <x:c r="Q413" s="72"/>
      <x:c r="R413" s="72"/>
      <x:c r="S413" s="73"/>
    </x:row>
    <x:row r="414">
      <x:c r="A414" s="81"/>
      <x:c r="B414" s="72"/>
      <x:c r="C414" s="72"/>
      <x:c r="D414" s="72"/>
      <x:c r="E414" s="72"/>
      <x:c r="F414" s="72"/>
      <x:c r="G414" s="72"/>
      <x:c r="H414" s="72"/>
      <x:c r="I414" s="72"/>
      <x:c r="J414" s="72"/>
      <x:c r="K414" s="72"/>
      <x:c r="L414" s="72"/>
      <x:c r="M414" s="72"/>
      <x:c r="N414" s="72"/>
      <x:c r="O414" s="72"/>
      <x:c r="P414" s="72"/>
      <x:c r="Q414" s="72"/>
      <x:c r="R414" s="72"/>
      <x:c r="S414" s="73"/>
    </x:row>
    <x:row r="415">
      <x:c r="A415" s="81"/>
      <x:c r="B415" s="72"/>
      <x:c r="C415" s="72"/>
      <x:c r="D415" s="72"/>
      <x:c r="E415" s="72"/>
      <x:c r="F415" s="72"/>
      <x:c r="G415" s="72"/>
      <x:c r="H415" s="72"/>
      <x:c r="I415" s="72"/>
      <x:c r="J415" s="72"/>
      <x:c r="K415" s="72"/>
      <x:c r="L415" s="72"/>
      <x:c r="M415" s="72"/>
      <x:c r="N415" s="72"/>
      <x:c r="O415" s="72"/>
      <x:c r="P415" s="72"/>
      <x:c r="Q415" s="72"/>
      <x:c r="R415" s="72"/>
      <x:c r="S415" s="73"/>
    </x:row>
    <x:row r="416">
      <x:c r="A416" s="81"/>
      <x:c r="B416" s="72"/>
      <x:c r="C416" s="72"/>
      <x:c r="D416" s="72"/>
      <x:c r="E416" s="72"/>
      <x:c r="F416" s="72"/>
      <x:c r="G416" s="72"/>
      <x:c r="H416" s="72"/>
      <x:c r="I416" s="72"/>
      <x:c r="J416" s="72"/>
      <x:c r="K416" s="72"/>
      <x:c r="L416" s="72"/>
      <x:c r="M416" s="72"/>
      <x:c r="N416" s="72"/>
      <x:c r="O416" s="72"/>
      <x:c r="P416" s="72"/>
      <x:c r="Q416" s="72"/>
      <x:c r="R416" s="72"/>
      <x:c r="S416" s="73"/>
    </x:row>
    <x:row r="417">
      <x:c r="A417" s="81"/>
      <x:c r="B417" s="72"/>
      <x:c r="C417" s="72"/>
      <x:c r="D417" s="72"/>
      <x:c r="E417" s="72"/>
      <x:c r="F417" s="72"/>
      <x:c r="G417" s="72"/>
      <x:c r="H417" s="72"/>
      <x:c r="I417" s="72"/>
      <x:c r="J417" s="72"/>
      <x:c r="K417" s="72"/>
      <x:c r="L417" s="72"/>
      <x:c r="M417" s="72"/>
      <x:c r="N417" s="72"/>
      <x:c r="O417" s="72"/>
      <x:c r="P417" s="72"/>
      <x:c r="Q417" s="72"/>
      <x:c r="R417" s="72"/>
      <x:c r="S417" s="73"/>
    </x:row>
    <x:row r="418">
      <x:c r="A418" s="81"/>
      <x:c r="B418" s="72"/>
      <x:c r="C418" s="72"/>
      <x:c r="D418" s="72"/>
      <x:c r="E418" s="72"/>
      <x:c r="F418" s="72"/>
      <x:c r="G418" s="72"/>
      <x:c r="H418" s="72"/>
      <x:c r="I418" s="72"/>
      <x:c r="J418" s="72"/>
      <x:c r="K418" s="72"/>
      <x:c r="L418" s="72"/>
      <x:c r="M418" s="72"/>
      <x:c r="N418" s="72"/>
      <x:c r="O418" s="72"/>
      <x:c r="P418" s="72"/>
      <x:c r="Q418" s="72"/>
      <x:c r="R418" s="72"/>
      <x:c r="S418" s="73"/>
    </x:row>
    <x:row r="419">
      <x:c r="A419" s="81"/>
      <x:c r="B419" s="72"/>
      <x:c r="C419" s="72"/>
      <x:c r="D419" s="72"/>
      <x:c r="E419" s="72"/>
      <x:c r="F419" s="72"/>
      <x:c r="G419" s="72"/>
      <x:c r="H419" s="72"/>
      <x:c r="I419" s="72"/>
      <x:c r="J419" s="72"/>
      <x:c r="K419" s="72"/>
      <x:c r="L419" s="72"/>
      <x:c r="M419" s="72"/>
      <x:c r="N419" s="72"/>
      <x:c r="O419" s="72"/>
      <x:c r="P419" s="72"/>
      <x:c r="Q419" s="72"/>
      <x:c r="R419" s="72"/>
      <x:c r="S419" s="73"/>
    </x:row>
    <x:row r="420">
      <x:c r="A420" s="81"/>
      <x:c r="B420" s="72"/>
      <x:c r="C420" s="72"/>
      <x:c r="D420" s="72"/>
      <x:c r="E420" s="72"/>
      <x:c r="F420" s="72"/>
      <x:c r="G420" s="72"/>
      <x:c r="H420" s="72"/>
      <x:c r="I420" s="72"/>
      <x:c r="J420" s="72"/>
      <x:c r="K420" s="72"/>
      <x:c r="L420" s="72"/>
      <x:c r="M420" s="72"/>
      <x:c r="N420" s="72"/>
      <x:c r="O420" s="72"/>
      <x:c r="P420" s="72"/>
      <x:c r="Q420" s="72"/>
      <x:c r="R420" s="72"/>
      <x:c r="S420" s="73"/>
    </x:row>
    <x:row r="421">
      <x:c r="A421" s="81"/>
      <x:c r="B421" s="72"/>
      <x:c r="C421" s="72"/>
      <x:c r="D421" s="72"/>
      <x:c r="E421" s="72"/>
      <x:c r="F421" s="72"/>
      <x:c r="G421" s="72"/>
      <x:c r="H421" s="72"/>
      <x:c r="I421" s="72"/>
      <x:c r="J421" s="72"/>
      <x:c r="K421" s="72"/>
      <x:c r="L421" s="72"/>
      <x:c r="M421" s="72"/>
      <x:c r="N421" s="72"/>
      <x:c r="O421" s="72"/>
      <x:c r="P421" s="72"/>
      <x:c r="Q421" s="72"/>
      <x:c r="R421" s="72"/>
      <x:c r="S421" s="73"/>
    </x:row>
    <x:row r="422">
      <x:c r="A422" s="81"/>
      <x:c r="B422" s="72"/>
      <x:c r="C422" s="72"/>
      <x:c r="D422" s="72"/>
      <x:c r="E422" s="72"/>
      <x:c r="F422" s="72"/>
      <x:c r="G422" s="72"/>
      <x:c r="H422" s="72"/>
      <x:c r="I422" s="72"/>
      <x:c r="J422" s="72"/>
      <x:c r="K422" s="72"/>
      <x:c r="L422" s="72"/>
      <x:c r="M422" s="72"/>
      <x:c r="N422" s="72"/>
      <x:c r="O422" s="72"/>
      <x:c r="P422" s="72"/>
      <x:c r="Q422" s="72"/>
      <x:c r="R422" s="72"/>
      <x:c r="S422" s="73"/>
    </x:row>
    <x:row r="423">
      <x:c r="A423" s="81"/>
      <x:c r="B423" s="72"/>
      <x:c r="C423" s="72"/>
      <x:c r="D423" s="72"/>
      <x:c r="E423" s="72"/>
      <x:c r="F423" s="72"/>
      <x:c r="G423" s="72"/>
      <x:c r="H423" s="72"/>
      <x:c r="I423" s="72"/>
      <x:c r="J423" s="72"/>
      <x:c r="K423" s="72"/>
      <x:c r="L423" s="72"/>
      <x:c r="M423" s="72"/>
      <x:c r="N423" s="72"/>
      <x:c r="O423" s="72"/>
      <x:c r="P423" s="72"/>
      <x:c r="Q423" s="72"/>
      <x:c r="R423" s="72"/>
      <x:c r="S423" s="73"/>
    </x:row>
    <x:row r="424">
      <x:c r="A424" s="81"/>
      <x:c r="B424" s="72"/>
      <x:c r="C424" s="72"/>
      <x:c r="D424" s="72"/>
      <x:c r="E424" s="72"/>
      <x:c r="F424" s="72"/>
      <x:c r="G424" s="72"/>
      <x:c r="H424" s="72"/>
      <x:c r="I424" s="72"/>
      <x:c r="J424" s="72"/>
      <x:c r="K424" s="72"/>
      <x:c r="L424" s="72"/>
      <x:c r="M424" s="72"/>
      <x:c r="N424" s="72"/>
      <x:c r="O424" s="72"/>
      <x:c r="P424" s="72"/>
      <x:c r="Q424" s="72"/>
      <x:c r="R424" s="72"/>
      <x:c r="S424" s="73"/>
    </x:row>
    <x:row r="425">
      <x:c r="A425" s="81"/>
      <x:c r="B425" s="72"/>
      <x:c r="C425" s="72"/>
      <x:c r="D425" s="72"/>
      <x:c r="E425" s="72"/>
      <x:c r="F425" s="72"/>
      <x:c r="G425" s="72"/>
      <x:c r="H425" s="72"/>
      <x:c r="I425" s="72"/>
      <x:c r="J425" s="72"/>
      <x:c r="K425" s="72"/>
      <x:c r="L425" s="72"/>
      <x:c r="M425" s="72"/>
      <x:c r="N425" s="72"/>
      <x:c r="O425" s="72"/>
      <x:c r="P425" s="72"/>
      <x:c r="Q425" s="72"/>
      <x:c r="R425" s="72"/>
      <x:c r="S425" s="73"/>
    </x:row>
    <x:row r="426">
      <x:c r="A426" s="81"/>
      <x:c r="B426" s="72"/>
      <x:c r="C426" s="72"/>
      <x:c r="D426" s="72"/>
      <x:c r="E426" s="72"/>
      <x:c r="F426" s="72"/>
      <x:c r="G426" s="72"/>
      <x:c r="H426" s="72"/>
      <x:c r="I426" s="72"/>
      <x:c r="J426" s="72"/>
      <x:c r="K426" s="72"/>
      <x:c r="L426" s="72"/>
      <x:c r="M426" s="72"/>
      <x:c r="N426" s="72"/>
      <x:c r="O426" s="72"/>
      <x:c r="P426" s="72"/>
      <x:c r="Q426" s="72"/>
      <x:c r="R426" s="72"/>
      <x:c r="S426" s="73"/>
    </x:row>
    <x:row r="427">
      <x:c r="A427" s="81"/>
      <x:c r="B427" s="72"/>
      <x:c r="C427" s="72"/>
      <x:c r="D427" s="72"/>
      <x:c r="E427" s="72"/>
      <x:c r="F427" s="72"/>
      <x:c r="G427" s="72"/>
      <x:c r="H427" s="72"/>
      <x:c r="I427" s="72"/>
      <x:c r="J427" s="72"/>
      <x:c r="K427" s="72"/>
      <x:c r="L427" s="72"/>
      <x:c r="M427" s="72"/>
      <x:c r="N427" s="72"/>
      <x:c r="O427" s="72"/>
      <x:c r="P427" s="72"/>
      <x:c r="Q427" s="72"/>
      <x:c r="R427" s="72"/>
      <x:c r="S427" s="73"/>
    </x:row>
    <x:row r="428">
      <x:c r="A428" s="81"/>
      <x:c r="B428" s="72"/>
      <x:c r="C428" s="72"/>
      <x:c r="D428" s="72"/>
      <x:c r="E428" s="72"/>
      <x:c r="F428" s="72"/>
      <x:c r="G428" s="72"/>
      <x:c r="H428" s="72"/>
      <x:c r="I428" s="72"/>
      <x:c r="J428" s="72"/>
      <x:c r="K428" s="72"/>
      <x:c r="L428" s="72"/>
      <x:c r="M428" s="72"/>
      <x:c r="N428" s="72"/>
      <x:c r="O428" s="72"/>
      <x:c r="P428" s="72"/>
      <x:c r="Q428" s="72"/>
      <x:c r="R428" s="72"/>
      <x:c r="S428" s="73"/>
    </x:row>
    <x:row r="429">
      <x:c r="A429" s="81"/>
      <x:c r="B429" s="72"/>
      <x:c r="C429" s="72"/>
      <x:c r="D429" s="72"/>
      <x:c r="E429" s="72"/>
      <x:c r="F429" s="72"/>
      <x:c r="G429" s="72"/>
      <x:c r="H429" s="72"/>
      <x:c r="I429" s="72"/>
      <x:c r="J429" s="72"/>
      <x:c r="K429" s="72"/>
      <x:c r="L429" s="72"/>
      <x:c r="M429" s="72"/>
      <x:c r="N429" s="72"/>
      <x:c r="O429" s="72"/>
      <x:c r="P429" s="72"/>
      <x:c r="Q429" s="72"/>
      <x:c r="R429" s="72"/>
      <x:c r="S429" s="73"/>
    </x:row>
    <x:row r="430">
      <x:c r="A430" s="81"/>
      <x:c r="B430" s="72"/>
      <x:c r="C430" s="72"/>
      <x:c r="D430" s="72"/>
      <x:c r="E430" s="72"/>
      <x:c r="F430" s="72"/>
      <x:c r="G430" s="72"/>
      <x:c r="H430" s="72"/>
      <x:c r="I430" s="72"/>
      <x:c r="J430" s="72"/>
      <x:c r="K430" s="72"/>
      <x:c r="L430" s="72"/>
      <x:c r="M430" s="72"/>
      <x:c r="N430" s="72"/>
      <x:c r="O430" s="72"/>
      <x:c r="P430" s="72"/>
      <x:c r="Q430" s="72"/>
      <x:c r="R430" s="72"/>
      <x:c r="S430" s="73"/>
    </x:row>
    <x:row r="431">
      <x:c r="A431" s="81"/>
      <x:c r="B431" s="72"/>
      <x:c r="C431" s="72"/>
      <x:c r="D431" s="72"/>
      <x:c r="E431" s="72"/>
      <x:c r="F431" s="72"/>
      <x:c r="G431" s="72"/>
      <x:c r="H431" s="72"/>
      <x:c r="I431" s="72"/>
      <x:c r="J431" s="72"/>
      <x:c r="K431" s="72"/>
      <x:c r="L431" s="72"/>
      <x:c r="M431" s="72"/>
      <x:c r="N431" s="72"/>
      <x:c r="O431" s="72"/>
      <x:c r="P431" s="72"/>
      <x:c r="Q431" s="72"/>
      <x:c r="R431" s="72"/>
      <x:c r="S431" s="73"/>
    </x:row>
    <x:row r="432">
      <x:c r="A432" s="81"/>
      <x:c r="B432" s="72"/>
      <x:c r="C432" s="72"/>
      <x:c r="D432" s="72"/>
      <x:c r="E432" s="72"/>
      <x:c r="F432" s="72"/>
      <x:c r="G432" s="72"/>
      <x:c r="H432" s="72"/>
      <x:c r="I432" s="72"/>
      <x:c r="J432" s="72"/>
      <x:c r="K432" s="72"/>
      <x:c r="L432" s="72"/>
      <x:c r="M432" s="72"/>
      <x:c r="N432" s="72"/>
      <x:c r="O432" s="72"/>
      <x:c r="P432" s="72"/>
      <x:c r="Q432" s="72"/>
      <x:c r="R432" s="72"/>
      <x:c r="S432" s="73"/>
    </x:row>
    <x:row r="433">
      <x:c r="A433" s="81"/>
      <x:c r="B433" s="72"/>
      <x:c r="C433" s="72"/>
      <x:c r="D433" s="72"/>
      <x:c r="E433" s="72"/>
      <x:c r="F433" s="72"/>
      <x:c r="G433" s="72"/>
      <x:c r="H433" s="72"/>
      <x:c r="I433" s="72"/>
      <x:c r="J433" s="72"/>
      <x:c r="K433" s="72"/>
      <x:c r="L433" s="72"/>
      <x:c r="M433" s="72"/>
      <x:c r="N433" s="72"/>
      <x:c r="O433" s="72"/>
      <x:c r="P433" s="72"/>
      <x:c r="Q433" s="72"/>
      <x:c r="R433" s="72"/>
      <x:c r="S433" s="73"/>
    </x:row>
    <x:row r="434">
      <x:c r="A434" s="81"/>
      <x:c r="B434" s="72"/>
      <x:c r="C434" s="72"/>
      <x:c r="D434" s="72"/>
      <x:c r="E434" s="72"/>
      <x:c r="F434" s="72"/>
      <x:c r="G434" s="72"/>
      <x:c r="H434" s="72"/>
      <x:c r="I434" s="72"/>
      <x:c r="J434" s="72"/>
      <x:c r="K434" s="72"/>
      <x:c r="L434" s="72"/>
      <x:c r="M434" s="72"/>
      <x:c r="N434" s="72"/>
      <x:c r="O434" s="72"/>
      <x:c r="P434" s="72"/>
      <x:c r="Q434" s="72"/>
      <x:c r="R434" s="72"/>
      <x:c r="S434" s="73"/>
    </x:row>
    <x:row r="435">
      <x:c r="A435" s="81"/>
      <x:c r="B435" s="72"/>
      <x:c r="C435" s="72"/>
      <x:c r="D435" s="72"/>
      <x:c r="E435" s="72"/>
      <x:c r="F435" s="72"/>
      <x:c r="G435" s="72"/>
      <x:c r="H435" s="72"/>
      <x:c r="I435" s="72"/>
      <x:c r="J435" s="72"/>
      <x:c r="K435" s="72"/>
      <x:c r="L435" s="72"/>
      <x:c r="M435" s="72"/>
      <x:c r="N435" s="72"/>
      <x:c r="O435" s="72"/>
      <x:c r="P435" s="72"/>
      <x:c r="Q435" s="72"/>
      <x:c r="R435" s="72"/>
      <x:c r="S435" s="73"/>
    </x:row>
    <x:row r="436">
      <x:c r="A436" s="81"/>
      <x:c r="B436" s="72"/>
      <x:c r="C436" s="72"/>
      <x:c r="D436" s="72"/>
      <x:c r="E436" s="72"/>
      <x:c r="F436" s="72"/>
      <x:c r="G436" s="72"/>
      <x:c r="H436" s="72"/>
      <x:c r="I436" s="72"/>
      <x:c r="J436" s="72"/>
      <x:c r="K436" s="72"/>
      <x:c r="L436" s="72"/>
      <x:c r="M436" s="72"/>
      <x:c r="N436" s="72"/>
      <x:c r="O436" s="72"/>
      <x:c r="P436" s="72"/>
      <x:c r="Q436" s="72"/>
      <x:c r="R436" s="72"/>
      <x:c r="S436" s="73"/>
    </x:row>
    <x:row r="437">
      <x:c r="A437" s="81"/>
      <x:c r="B437" s="72"/>
      <x:c r="C437" s="72"/>
      <x:c r="D437" s="72"/>
      <x:c r="E437" s="72"/>
      <x:c r="F437" s="72"/>
      <x:c r="G437" s="72"/>
      <x:c r="H437" s="72"/>
      <x:c r="I437" s="72"/>
      <x:c r="J437" s="72"/>
      <x:c r="K437" s="72"/>
      <x:c r="L437" s="72"/>
      <x:c r="M437" s="72"/>
      <x:c r="N437" s="72"/>
      <x:c r="O437" s="72"/>
      <x:c r="P437" s="72"/>
      <x:c r="Q437" s="72"/>
      <x:c r="R437" s="72"/>
      <x:c r="S437" s="73"/>
    </x:row>
    <x:row r="438">
      <x:c r="A438" s="81"/>
      <x:c r="B438" s="72"/>
      <x:c r="C438" s="72"/>
      <x:c r="D438" s="72"/>
      <x:c r="E438" s="72"/>
      <x:c r="F438" s="72"/>
      <x:c r="G438" s="72"/>
      <x:c r="H438" s="72"/>
      <x:c r="I438" s="72"/>
      <x:c r="J438" s="72"/>
      <x:c r="K438" s="72"/>
      <x:c r="L438" s="72"/>
      <x:c r="M438" s="72"/>
      <x:c r="N438" s="72"/>
      <x:c r="O438" s="72"/>
      <x:c r="P438" s="72"/>
      <x:c r="Q438" s="72"/>
      <x:c r="R438" s="72"/>
      <x:c r="S438" s="73"/>
    </x:row>
    <x:row r="439">
      <x:c r="A439" s="81"/>
      <x:c r="B439" s="72"/>
      <x:c r="C439" s="72"/>
      <x:c r="D439" s="72"/>
      <x:c r="E439" s="72"/>
      <x:c r="F439" s="72"/>
      <x:c r="G439" s="72"/>
      <x:c r="H439" s="72"/>
      <x:c r="I439" s="72"/>
      <x:c r="J439" s="72"/>
      <x:c r="K439" s="72"/>
      <x:c r="L439" s="72"/>
      <x:c r="M439" s="72"/>
      <x:c r="N439" s="72"/>
      <x:c r="O439" s="72"/>
      <x:c r="P439" s="72"/>
      <x:c r="Q439" s="72"/>
      <x:c r="R439" s="72"/>
      <x:c r="S439" s="73"/>
    </x:row>
    <x:row r="440">
      <x:c r="A440" s="81"/>
      <x:c r="B440" s="72"/>
      <x:c r="C440" s="72"/>
      <x:c r="D440" s="72"/>
      <x:c r="E440" s="72"/>
      <x:c r="F440" s="72"/>
      <x:c r="G440" s="72"/>
      <x:c r="H440" s="72"/>
      <x:c r="I440" s="72"/>
      <x:c r="J440" s="72"/>
      <x:c r="K440" s="72"/>
      <x:c r="L440" s="72"/>
      <x:c r="M440" s="72"/>
      <x:c r="N440" s="72"/>
      <x:c r="O440" s="72"/>
      <x:c r="P440" s="72"/>
      <x:c r="Q440" s="72"/>
      <x:c r="R440" s="72"/>
      <x:c r="S440" s="73"/>
    </x:row>
    <x:row r="441">
      <x:c r="A441" s="81"/>
      <x:c r="B441" s="72"/>
      <x:c r="C441" s="72"/>
      <x:c r="D441" s="72"/>
      <x:c r="E441" s="72"/>
      <x:c r="F441" s="72"/>
      <x:c r="G441" s="72"/>
      <x:c r="H441" s="72"/>
      <x:c r="I441" s="72"/>
      <x:c r="J441" s="72"/>
      <x:c r="K441" s="72"/>
      <x:c r="L441" s="72"/>
      <x:c r="M441" s="72"/>
      <x:c r="N441" s="72"/>
      <x:c r="O441" s="72"/>
      <x:c r="P441" s="72"/>
      <x:c r="Q441" s="72"/>
      <x:c r="R441" s="72"/>
      <x:c r="S441" s="73"/>
    </x:row>
    <x:row r="442">
      <x:c r="A442" s="81"/>
      <x:c r="B442" s="72"/>
      <x:c r="C442" s="72"/>
      <x:c r="D442" s="72"/>
      <x:c r="E442" s="72"/>
      <x:c r="F442" s="72"/>
      <x:c r="G442" s="72"/>
      <x:c r="H442" s="72"/>
      <x:c r="I442" s="72"/>
      <x:c r="J442" s="72"/>
      <x:c r="K442" s="72"/>
      <x:c r="L442" s="72"/>
      <x:c r="M442" s="72"/>
      <x:c r="N442" s="72"/>
      <x:c r="O442" s="72"/>
      <x:c r="P442" s="72"/>
      <x:c r="Q442" s="72"/>
      <x:c r="R442" s="72"/>
      <x:c r="S442" s="73"/>
    </x:row>
    <x:row r="443">
      <x:c r="A443" s="81"/>
      <x:c r="B443" s="72"/>
      <x:c r="C443" s="72"/>
      <x:c r="D443" s="72"/>
      <x:c r="E443" s="72"/>
      <x:c r="F443" s="72"/>
      <x:c r="G443" s="72"/>
      <x:c r="H443" s="72"/>
      <x:c r="I443" s="72"/>
      <x:c r="J443" s="72"/>
      <x:c r="K443" s="72"/>
      <x:c r="L443" s="72"/>
      <x:c r="M443" s="72"/>
      <x:c r="N443" s="72"/>
      <x:c r="O443" s="72"/>
      <x:c r="P443" s="72"/>
      <x:c r="Q443" s="72"/>
      <x:c r="R443" s="72"/>
      <x:c r="S443" s="73"/>
    </x:row>
    <x:row r="444">
      <x:c r="A444" s="81"/>
      <x:c r="B444" s="72"/>
      <x:c r="C444" s="72"/>
      <x:c r="D444" s="72"/>
      <x:c r="E444" s="72"/>
      <x:c r="F444" s="72"/>
      <x:c r="G444" s="72"/>
      <x:c r="H444" s="72"/>
      <x:c r="I444" s="72"/>
      <x:c r="J444" s="72"/>
      <x:c r="K444" s="72"/>
      <x:c r="L444" s="72"/>
      <x:c r="M444" s="72"/>
      <x:c r="N444" s="72"/>
      <x:c r="O444" s="72"/>
      <x:c r="P444" s="72"/>
      <x:c r="Q444" s="72"/>
      <x:c r="R444" s="72"/>
      <x:c r="S444" s="73"/>
    </x:row>
    <x:row r="445">
      <x:c r="A445" s="81"/>
      <x:c r="B445" s="72"/>
      <x:c r="C445" s="72"/>
      <x:c r="D445" s="72"/>
      <x:c r="E445" s="72"/>
      <x:c r="F445" s="72"/>
      <x:c r="G445" s="72"/>
      <x:c r="H445" s="72"/>
      <x:c r="I445" s="72"/>
      <x:c r="J445" s="72"/>
      <x:c r="K445" s="72"/>
      <x:c r="L445" s="72"/>
      <x:c r="M445" s="72"/>
      <x:c r="N445" s="72"/>
      <x:c r="O445" s="72"/>
      <x:c r="P445" s="72"/>
      <x:c r="Q445" s="72"/>
      <x:c r="R445" s="72"/>
      <x:c r="S445" s="73"/>
    </x:row>
    <x:row r="446">
      <x:c r="A446" s="81"/>
      <x:c r="B446" s="72"/>
      <x:c r="C446" s="72"/>
      <x:c r="D446" s="72"/>
      <x:c r="E446" s="72"/>
      <x:c r="F446" s="72"/>
      <x:c r="G446" s="72"/>
      <x:c r="H446" s="72"/>
      <x:c r="I446" s="72"/>
      <x:c r="J446" s="72"/>
      <x:c r="K446" s="72"/>
      <x:c r="L446" s="72"/>
      <x:c r="M446" s="72"/>
      <x:c r="N446" s="72"/>
      <x:c r="O446" s="72"/>
      <x:c r="P446" s="72"/>
      <x:c r="Q446" s="72"/>
      <x:c r="R446" s="72"/>
      <x:c r="S446" s="73"/>
    </x:row>
    <x:row r="447">
      <x:c r="A447" s="81"/>
      <x:c r="B447" s="72"/>
      <x:c r="C447" s="72"/>
      <x:c r="D447" s="72"/>
      <x:c r="E447" s="72"/>
      <x:c r="F447" s="72"/>
      <x:c r="G447" s="72"/>
      <x:c r="H447" s="72"/>
      <x:c r="I447" s="72"/>
      <x:c r="J447" s="72"/>
      <x:c r="K447" s="72"/>
      <x:c r="L447" s="72"/>
      <x:c r="M447" s="72"/>
      <x:c r="N447" s="72"/>
      <x:c r="O447" s="72"/>
      <x:c r="P447" s="72"/>
      <x:c r="Q447" s="72"/>
      <x:c r="R447" s="72"/>
      <x:c r="S447" s="73"/>
    </x:row>
    <x:row r="448">
      <x:c r="A448" s="81"/>
      <x:c r="B448" s="72"/>
      <x:c r="C448" s="72"/>
      <x:c r="D448" s="72"/>
      <x:c r="E448" s="72"/>
      <x:c r="F448" s="72"/>
      <x:c r="G448" s="72"/>
      <x:c r="H448" s="72"/>
      <x:c r="I448" s="72"/>
      <x:c r="J448" s="72"/>
      <x:c r="K448" s="72"/>
      <x:c r="L448" s="72"/>
      <x:c r="M448" s="72"/>
      <x:c r="N448" s="72"/>
      <x:c r="O448" s="72"/>
      <x:c r="P448" s="72"/>
      <x:c r="Q448" s="72"/>
      <x:c r="R448" s="72"/>
      <x:c r="S448" s="73"/>
    </x:row>
    <x:row r="449">
      <x:c r="A449" s="81"/>
      <x:c r="B449" s="72"/>
      <x:c r="C449" s="72"/>
      <x:c r="D449" s="72"/>
      <x:c r="E449" s="72"/>
      <x:c r="F449" s="72"/>
      <x:c r="G449" s="72"/>
      <x:c r="H449" s="72"/>
      <x:c r="I449" s="72"/>
      <x:c r="J449" s="72"/>
      <x:c r="K449" s="72"/>
      <x:c r="L449" s="72"/>
      <x:c r="M449" s="72"/>
      <x:c r="N449" s="72"/>
      <x:c r="O449" s="72"/>
      <x:c r="P449" s="72"/>
      <x:c r="Q449" s="72"/>
      <x:c r="R449" s="72"/>
      <x:c r="S449" s="73"/>
    </x:row>
    <x:row r="450">
      <x:c r="A450" s="81"/>
      <x:c r="B450" s="72"/>
      <x:c r="C450" s="72"/>
      <x:c r="D450" s="72"/>
      <x:c r="E450" s="72"/>
      <x:c r="F450" s="72"/>
      <x:c r="G450" s="72"/>
      <x:c r="H450" s="72"/>
      <x:c r="I450" s="72"/>
      <x:c r="J450" s="72"/>
      <x:c r="K450" s="72"/>
      <x:c r="L450" s="72"/>
      <x:c r="M450" s="72"/>
      <x:c r="N450" s="72"/>
      <x:c r="O450" s="72"/>
      <x:c r="P450" s="72"/>
      <x:c r="Q450" s="72"/>
      <x:c r="R450" s="72"/>
      <x:c r="S450" s="73"/>
    </x:row>
    <x:row r="451">
      <x:c r="A451" s="81"/>
      <x:c r="B451" s="72"/>
      <x:c r="C451" s="72"/>
      <x:c r="D451" s="72"/>
      <x:c r="E451" s="72"/>
      <x:c r="F451" s="72"/>
      <x:c r="G451" s="72"/>
      <x:c r="H451" s="72"/>
      <x:c r="I451" s="72"/>
      <x:c r="J451" s="72"/>
      <x:c r="K451" s="72"/>
      <x:c r="L451" s="72"/>
      <x:c r="M451" s="72"/>
      <x:c r="N451" s="72"/>
      <x:c r="O451" s="72"/>
      <x:c r="P451" s="72"/>
      <x:c r="Q451" s="72"/>
      <x:c r="R451" s="72"/>
      <x:c r="S451" s="73"/>
    </x:row>
    <x:row r="452">
      <x:c r="A452" s="81"/>
      <x:c r="B452" s="72"/>
      <x:c r="C452" s="72"/>
      <x:c r="D452" s="72"/>
      <x:c r="E452" s="72"/>
      <x:c r="F452" s="72"/>
      <x:c r="G452" s="72"/>
      <x:c r="H452" s="72"/>
      <x:c r="I452" s="72"/>
      <x:c r="J452" s="72"/>
      <x:c r="K452" s="72"/>
      <x:c r="L452" s="72"/>
      <x:c r="M452" s="72"/>
      <x:c r="N452" s="72"/>
      <x:c r="O452" s="72"/>
      <x:c r="P452" s="72"/>
      <x:c r="Q452" s="72"/>
      <x:c r="R452" s="72"/>
      <x:c r="S452" s="73"/>
    </x:row>
    <x:row r="453">
      <x:c r="A453" s="81"/>
      <x:c r="B453" s="72"/>
      <x:c r="C453" s="72"/>
      <x:c r="D453" s="72"/>
      <x:c r="E453" s="72"/>
      <x:c r="F453" s="72"/>
      <x:c r="G453" s="72"/>
      <x:c r="H453" s="72"/>
      <x:c r="I453" s="72"/>
      <x:c r="J453" s="72"/>
      <x:c r="K453" s="72"/>
      <x:c r="L453" s="72"/>
      <x:c r="M453" s="72"/>
      <x:c r="N453" s="72"/>
      <x:c r="O453" s="72"/>
      <x:c r="P453" s="72"/>
      <x:c r="Q453" s="72"/>
      <x:c r="R453" s="72"/>
      <x:c r="S453" s="73"/>
    </x:row>
    <x:row r="454">
      <x:c r="A454" s="81"/>
      <x:c r="B454" s="72"/>
      <x:c r="C454" s="72"/>
      <x:c r="D454" s="72"/>
      <x:c r="E454" s="72"/>
      <x:c r="F454" s="72"/>
      <x:c r="G454" s="72"/>
      <x:c r="H454" s="72"/>
      <x:c r="I454" s="72"/>
      <x:c r="J454" s="72"/>
      <x:c r="K454" s="72"/>
      <x:c r="L454" s="72"/>
      <x:c r="M454" s="72"/>
      <x:c r="N454" s="72"/>
      <x:c r="O454" s="72"/>
      <x:c r="P454" s="72"/>
      <x:c r="Q454" s="72"/>
      <x:c r="R454" s="72"/>
      <x:c r="S454" s="73"/>
    </x:row>
    <x:row r="455">
      <x:c r="A455" s="81"/>
      <x:c r="B455" s="72"/>
      <x:c r="C455" s="72"/>
      <x:c r="D455" s="72"/>
      <x:c r="E455" s="72"/>
      <x:c r="F455" s="72"/>
      <x:c r="G455" s="72"/>
      <x:c r="H455" s="72"/>
      <x:c r="I455" s="72"/>
      <x:c r="J455" s="72"/>
      <x:c r="K455" s="72"/>
      <x:c r="L455" s="72"/>
      <x:c r="M455" s="72"/>
      <x:c r="N455" s="72"/>
      <x:c r="O455" s="72"/>
      <x:c r="P455" s="72"/>
      <x:c r="Q455" s="72"/>
      <x:c r="R455" s="72"/>
      <x:c r="S455" s="73"/>
    </x:row>
    <x:row r="456">
      <x:c r="A456" s="81"/>
      <x:c r="B456" s="72"/>
      <x:c r="C456" s="72"/>
      <x:c r="D456" s="72"/>
      <x:c r="E456" s="72"/>
      <x:c r="F456" s="72"/>
      <x:c r="G456" s="72"/>
      <x:c r="H456" s="72"/>
      <x:c r="I456" s="72"/>
      <x:c r="J456" s="72"/>
      <x:c r="K456" s="72"/>
      <x:c r="L456" s="72"/>
      <x:c r="M456" s="72"/>
      <x:c r="N456" s="72"/>
      <x:c r="O456" s="72"/>
      <x:c r="P456" s="72"/>
      <x:c r="Q456" s="72"/>
      <x:c r="R456" s="72"/>
      <x:c r="S456" s="73"/>
    </x:row>
    <x:row r="457">
      <x:c r="A457" s="81"/>
      <x:c r="B457" s="72"/>
      <x:c r="C457" s="72"/>
      <x:c r="D457" s="72"/>
      <x:c r="E457" s="72"/>
      <x:c r="F457" s="72"/>
      <x:c r="G457" s="72"/>
      <x:c r="H457" s="72"/>
      <x:c r="I457" s="72"/>
      <x:c r="J457" s="72"/>
      <x:c r="K457" s="72"/>
      <x:c r="L457" s="72"/>
      <x:c r="M457" s="72"/>
      <x:c r="N457" s="72"/>
      <x:c r="O457" s="72"/>
      <x:c r="P457" s="72"/>
      <x:c r="Q457" s="72"/>
      <x:c r="R457" s="72"/>
      <x:c r="S457" s="73"/>
    </x:row>
    <x:row r="458">
      <x:c r="A458" s="81"/>
      <x:c r="B458" s="72"/>
      <x:c r="C458" s="72"/>
      <x:c r="D458" s="72"/>
      <x:c r="E458" s="72"/>
      <x:c r="F458" s="72"/>
      <x:c r="G458" s="72"/>
      <x:c r="H458" s="72"/>
      <x:c r="I458" s="72"/>
      <x:c r="J458" s="72"/>
      <x:c r="K458" s="72"/>
      <x:c r="L458" s="72"/>
      <x:c r="M458" s="72"/>
      <x:c r="N458" s="72"/>
      <x:c r="O458" s="72"/>
      <x:c r="P458" s="72"/>
      <x:c r="Q458" s="72"/>
      <x:c r="R458" s="72"/>
      <x:c r="S458" s="73"/>
    </x:row>
    <x:row r="459">
      <x:c r="A459" s="81"/>
      <x:c r="B459" s="72"/>
      <x:c r="C459" s="72"/>
      <x:c r="D459" s="72"/>
      <x:c r="E459" s="72"/>
      <x:c r="F459" s="72"/>
      <x:c r="G459" s="72"/>
      <x:c r="H459" s="72"/>
      <x:c r="I459" s="72"/>
      <x:c r="J459" s="72"/>
      <x:c r="K459" s="72"/>
      <x:c r="L459" s="72"/>
      <x:c r="M459" s="72"/>
      <x:c r="N459" s="72"/>
      <x:c r="O459" s="72"/>
      <x:c r="P459" s="72"/>
      <x:c r="Q459" s="72"/>
      <x:c r="R459" s="72"/>
      <x:c r="S459" s="73"/>
    </x:row>
    <x:row r="460">
      <x:c r="A460" s="81"/>
      <x:c r="B460" s="72"/>
      <x:c r="C460" s="72"/>
      <x:c r="D460" s="72"/>
      <x:c r="E460" s="72"/>
      <x:c r="F460" s="72"/>
      <x:c r="G460" s="72"/>
      <x:c r="H460" s="72"/>
      <x:c r="I460" s="72"/>
      <x:c r="J460" s="72"/>
      <x:c r="K460" s="72"/>
      <x:c r="L460" s="72"/>
      <x:c r="M460" s="72"/>
      <x:c r="N460" s="72"/>
      <x:c r="O460" s="72"/>
      <x:c r="P460" s="72"/>
      <x:c r="Q460" s="72"/>
      <x:c r="R460" s="72"/>
      <x:c r="S460" s="73"/>
    </x:row>
    <x:row r="461">
      <x:c r="A461" s="81"/>
      <x:c r="B461" s="72"/>
      <x:c r="C461" s="72"/>
      <x:c r="D461" s="72"/>
      <x:c r="E461" s="72"/>
      <x:c r="F461" s="72"/>
      <x:c r="G461" s="72"/>
      <x:c r="H461" s="72"/>
      <x:c r="I461" s="72"/>
      <x:c r="J461" s="72"/>
      <x:c r="K461" s="72"/>
      <x:c r="L461" s="72"/>
      <x:c r="M461" s="72"/>
      <x:c r="N461" s="72"/>
      <x:c r="O461" s="72"/>
      <x:c r="P461" s="72"/>
      <x:c r="Q461" s="72"/>
      <x:c r="R461" s="72"/>
      <x:c r="S461" s="73"/>
    </x:row>
    <x:row r="462">
      <x:c r="A462" s="81"/>
      <x:c r="B462" s="72"/>
      <x:c r="C462" s="72"/>
      <x:c r="D462" s="72"/>
      <x:c r="E462" s="72"/>
      <x:c r="F462" s="72"/>
      <x:c r="G462" s="72"/>
      <x:c r="H462" s="72"/>
      <x:c r="I462" s="72"/>
      <x:c r="J462" s="72"/>
      <x:c r="K462" s="72"/>
      <x:c r="L462" s="72"/>
      <x:c r="M462" s="72"/>
      <x:c r="N462" s="72"/>
      <x:c r="O462" s="72"/>
      <x:c r="P462" s="72"/>
      <x:c r="Q462" s="72"/>
      <x:c r="R462" s="72"/>
      <x:c r="S462" s="73"/>
    </x:row>
    <x:row r="463">
      <x:c r="A463" s="81"/>
      <x:c r="B463" s="72"/>
      <x:c r="C463" s="72"/>
      <x:c r="D463" s="72"/>
      <x:c r="E463" s="72"/>
      <x:c r="F463" s="72"/>
      <x:c r="G463" s="72"/>
      <x:c r="H463" s="72"/>
      <x:c r="I463" s="72"/>
      <x:c r="J463" s="72"/>
      <x:c r="K463" s="72"/>
      <x:c r="L463" s="72"/>
      <x:c r="M463" s="72"/>
      <x:c r="N463" s="72"/>
      <x:c r="O463" s="72"/>
      <x:c r="P463" s="72"/>
      <x:c r="Q463" s="72"/>
      <x:c r="R463" s="72"/>
      <x:c r="S463" s="73"/>
    </x:row>
    <x:row r="464">
      <x:c r="A464" s="81"/>
      <x:c r="B464" s="72"/>
      <x:c r="C464" s="72"/>
      <x:c r="D464" s="72"/>
      <x:c r="E464" s="72"/>
      <x:c r="F464" s="72"/>
      <x:c r="G464" s="72"/>
      <x:c r="H464" s="72"/>
      <x:c r="I464" s="72"/>
      <x:c r="J464" s="72"/>
      <x:c r="K464" s="72"/>
      <x:c r="L464" s="72"/>
      <x:c r="M464" s="72"/>
      <x:c r="N464" s="72"/>
      <x:c r="O464" s="72"/>
      <x:c r="P464" s="72"/>
      <x:c r="Q464" s="72"/>
      <x:c r="R464" s="72"/>
      <x:c r="S464" s="73"/>
    </x:row>
    <x:row r="465">
      <x:c r="A465" s="81"/>
      <x:c r="B465" s="72"/>
      <x:c r="C465" s="72"/>
      <x:c r="D465" s="72"/>
      <x:c r="E465" s="72"/>
      <x:c r="F465" s="72"/>
      <x:c r="G465" s="72"/>
      <x:c r="H465" s="72"/>
      <x:c r="I465" s="72"/>
      <x:c r="J465" s="72"/>
      <x:c r="K465" s="72"/>
      <x:c r="L465" s="72"/>
      <x:c r="M465" s="72"/>
      <x:c r="N465" s="72"/>
      <x:c r="O465" s="72"/>
      <x:c r="P465" s="72"/>
      <x:c r="Q465" s="72"/>
      <x:c r="R465" s="72"/>
      <x:c r="S465" s="73"/>
    </x:row>
    <x:row r="466">
      <x:c r="A466" s="81"/>
      <x:c r="B466" s="72"/>
      <x:c r="C466" s="72"/>
      <x:c r="D466" s="72"/>
      <x:c r="E466" s="72"/>
      <x:c r="F466" s="72"/>
      <x:c r="G466" s="72"/>
      <x:c r="H466" s="72"/>
      <x:c r="I466" s="72"/>
      <x:c r="J466" s="72"/>
      <x:c r="K466" s="72"/>
      <x:c r="L466" s="72"/>
      <x:c r="M466" s="72"/>
      <x:c r="N466" s="72"/>
      <x:c r="O466" s="72"/>
      <x:c r="P466" s="72"/>
      <x:c r="Q466" s="72"/>
      <x:c r="R466" s="72"/>
      <x:c r="S466" s="73"/>
    </x:row>
    <x:row r="467">
      <x:c r="A467" s="81"/>
      <x:c r="B467" s="72"/>
      <x:c r="C467" s="72"/>
      <x:c r="D467" s="72"/>
      <x:c r="E467" s="72"/>
      <x:c r="F467" s="72"/>
      <x:c r="G467" s="72"/>
      <x:c r="H467" s="72"/>
      <x:c r="I467" s="72"/>
      <x:c r="J467" s="72"/>
      <x:c r="K467" s="72"/>
      <x:c r="L467" s="72"/>
      <x:c r="M467" s="72"/>
      <x:c r="N467" s="72"/>
      <x:c r="O467" s="72"/>
      <x:c r="P467" s="72"/>
      <x:c r="Q467" s="72"/>
      <x:c r="R467" s="72"/>
      <x:c r="S467" s="73"/>
    </x:row>
    <x:row r="468">
      <x:c r="A468" s="81"/>
      <x:c r="B468" s="72"/>
      <x:c r="C468" s="72"/>
      <x:c r="D468" s="72"/>
      <x:c r="E468" s="72"/>
      <x:c r="F468" s="72"/>
      <x:c r="G468" s="72"/>
      <x:c r="H468" s="72"/>
      <x:c r="I468" s="72"/>
      <x:c r="J468" s="72"/>
      <x:c r="K468" s="72"/>
      <x:c r="L468" s="72"/>
      <x:c r="M468" s="72"/>
      <x:c r="N468" s="72"/>
      <x:c r="O468" s="72"/>
      <x:c r="P468" s="72"/>
      <x:c r="Q468" s="72"/>
      <x:c r="R468" s="72"/>
      <x:c r="S468" s="73"/>
    </x:row>
    <x:row r="469">
      <x:c r="A469" s="81"/>
      <x:c r="B469" s="72"/>
      <x:c r="C469" s="72"/>
      <x:c r="D469" s="72"/>
      <x:c r="E469" s="72"/>
      <x:c r="F469" s="72"/>
      <x:c r="G469" s="72"/>
      <x:c r="H469" s="72"/>
      <x:c r="I469" s="72"/>
      <x:c r="J469" s="72"/>
      <x:c r="K469" s="72"/>
      <x:c r="L469" s="72"/>
      <x:c r="M469" s="72"/>
      <x:c r="N469" s="72"/>
      <x:c r="O469" s="72"/>
      <x:c r="P469" s="72"/>
      <x:c r="Q469" s="72"/>
      <x:c r="R469" s="72"/>
      <x:c r="S469" s="73"/>
    </x:row>
    <x:row r="470">
      <x:c r="A470" s="81"/>
      <x:c r="B470" s="72"/>
      <x:c r="C470" s="72"/>
      <x:c r="D470" s="72"/>
      <x:c r="E470" s="72"/>
      <x:c r="F470" s="72"/>
      <x:c r="G470" s="72"/>
      <x:c r="H470" s="72"/>
      <x:c r="I470" s="72"/>
      <x:c r="J470" s="72"/>
      <x:c r="K470" s="72"/>
      <x:c r="L470" s="72"/>
      <x:c r="M470" s="72"/>
      <x:c r="N470" s="72"/>
      <x:c r="O470" s="72"/>
      <x:c r="P470" s="72"/>
      <x:c r="Q470" s="72"/>
      <x:c r="R470" s="72"/>
      <x:c r="S470" s="73"/>
    </x:row>
    <x:row r="471">
      <x:c r="A471" s="81"/>
      <x:c r="B471" s="72"/>
      <x:c r="C471" s="72"/>
      <x:c r="D471" s="72"/>
      <x:c r="E471" s="72"/>
      <x:c r="F471" s="72"/>
      <x:c r="G471" s="72"/>
      <x:c r="H471" s="72"/>
      <x:c r="I471" s="72"/>
      <x:c r="J471" s="72"/>
      <x:c r="K471" s="72"/>
      <x:c r="L471" s="72"/>
      <x:c r="M471" s="72"/>
      <x:c r="N471" s="72"/>
      <x:c r="O471" s="72"/>
      <x:c r="P471" s="72"/>
      <x:c r="Q471" s="72"/>
      <x:c r="R471" s="72"/>
      <x:c r="S471" s="73"/>
    </x:row>
    <x:row r="472">
      <x:c r="A472" s="81"/>
      <x:c r="B472" s="72"/>
      <x:c r="C472" s="72"/>
      <x:c r="D472" s="72"/>
      <x:c r="E472" s="72"/>
      <x:c r="F472" s="72"/>
      <x:c r="G472" s="72"/>
      <x:c r="H472" s="72"/>
      <x:c r="I472" s="72"/>
      <x:c r="J472" s="72"/>
      <x:c r="K472" s="72"/>
      <x:c r="L472" s="72"/>
      <x:c r="M472" s="72"/>
      <x:c r="N472" s="72"/>
      <x:c r="O472" s="72"/>
      <x:c r="P472" s="72"/>
      <x:c r="Q472" s="72"/>
      <x:c r="R472" s="72"/>
      <x:c r="S472" s="73"/>
    </x:row>
    <x:row r="473">
      <x:c r="A473" s="81"/>
      <x:c r="B473" s="72"/>
      <x:c r="C473" s="72"/>
      <x:c r="D473" s="72"/>
      <x:c r="E473" s="72"/>
      <x:c r="F473" s="72"/>
      <x:c r="G473" s="72"/>
      <x:c r="H473" s="72"/>
      <x:c r="I473" s="72"/>
      <x:c r="J473" s="72"/>
      <x:c r="K473" s="72"/>
      <x:c r="L473" s="72"/>
      <x:c r="M473" s="72"/>
      <x:c r="N473" s="72"/>
      <x:c r="O473" s="72"/>
      <x:c r="P473" s="72"/>
      <x:c r="Q473" s="72"/>
      <x:c r="R473" s="72"/>
      <x:c r="S473" s="73"/>
    </x:row>
    <x:row r="474">
      <x:c r="A474" s="81"/>
      <x:c r="B474" s="72"/>
      <x:c r="C474" s="72"/>
      <x:c r="D474" s="72"/>
      <x:c r="E474" s="72"/>
      <x:c r="F474" s="72"/>
      <x:c r="G474" s="72"/>
      <x:c r="H474" s="72"/>
      <x:c r="I474" s="72"/>
      <x:c r="J474" s="72"/>
      <x:c r="K474" s="72"/>
      <x:c r="L474" s="72"/>
      <x:c r="M474" s="72"/>
      <x:c r="N474" s="72"/>
      <x:c r="O474" s="72"/>
      <x:c r="P474" s="72"/>
      <x:c r="Q474" s="72"/>
      <x:c r="R474" s="72"/>
      <x:c r="S474" s="73"/>
    </x:row>
    <x:row r="475">
      <x:c r="A475" s="81"/>
      <x:c r="B475" s="72"/>
      <x:c r="C475" s="72"/>
      <x:c r="D475" s="72"/>
      <x:c r="E475" s="72"/>
      <x:c r="F475" s="72"/>
      <x:c r="G475" s="72"/>
      <x:c r="H475" s="72"/>
      <x:c r="I475" s="72"/>
      <x:c r="J475" s="72"/>
      <x:c r="K475" s="72"/>
      <x:c r="L475" s="72"/>
      <x:c r="M475" s="72"/>
      <x:c r="N475" s="72"/>
      <x:c r="O475" s="72"/>
      <x:c r="P475" s="72"/>
      <x:c r="Q475" s="72"/>
      <x:c r="R475" s="72"/>
      <x:c r="S475" s="73"/>
    </x:row>
    <x:row r="476">
      <x:c r="A476" s="81"/>
      <x:c r="B476" s="72"/>
      <x:c r="C476" s="72"/>
      <x:c r="D476" s="72"/>
      <x:c r="E476" s="72"/>
      <x:c r="F476" s="72"/>
      <x:c r="G476" s="72"/>
      <x:c r="H476" s="72"/>
      <x:c r="I476" s="72"/>
      <x:c r="J476" s="72"/>
      <x:c r="K476" s="72"/>
      <x:c r="L476" s="72"/>
      <x:c r="M476" s="72"/>
      <x:c r="N476" s="72"/>
      <x:c r="O476" s="72"/>
      <x:c r="P476" s="72"/>
      <x:c r="Q476" s="72"/>
      <x:c r="R476" s="72"/>
      <x:c r="S476" s="73"/>
    </x:row>
    <x:row r="477">
      <x:c r="A477" s="81"/>
      <x:c r="B477" s="72"/>
      <x:c r="C477" s="72"/>
      <x:c r="D477" s="72"/>
      <x:c r="E477" s="72"/>
      <x:c r="F477" s="72"/>
      <x:c r="G477" s="72"/>
      <x:c r="H477" s="72"/>
      <x:c r="I477" s="72"/>
      <x:c r="J477" s="72"/>
      <x:c r="K477" s="72"/>
      <x:c r="L477" s="72"/>
      <x:c r="M477" s="72"/>
      <x:c r="N477" s="72"/>
      <x:c r="O477" s="72"/>
      <x:c r="P477" s="72"/>
      <x:c r="Q477" s="72"/>
      <x:c r="R477" s="72"/>
      <x:c r="S477" s="73"/>
    </x:row>
    <x:row r="478">
      <x:c r="A478" s="81"/>
      <x:c r="B478" s="72"/>
      <x:c r="C478" s="72"/>
      <x:c r="D478" s="72"/>
      <x:c r="E478" s="72"/>
      <x:c r="F478" s="72"/>
      <x:c r="G478" s="72"/>
      <x:c r="H478" s="72"/>
      <x:c r="I478" s="72"/>
      <x:c r="J478" s="72"/>
      <x:c r="K478" s="72"/>
      <x:c r="L478" s="72"/>
      <x:c r="M478" s="72"/>
      <x:c r="N478" s="72"/>
      <x:c r="O478" s="72"/>
      <x:c r="P478" s="72"/>
      <x:c r="Q478" s="72"/>
      <x:c r="R478" s="72"/>
      <x:c r="S478" s="73"/>
    </x:row>
    <x:row r="479">
      <x:c r="A479" s="81"/>
      <x:c r="B479" s="72"/>
      <x:c r="C479" s="72"/>
      <x:c r="D479" s="72"/>
      <x:c r="E479" s="72"/>
      <x:c r="F479" s="72"/>
      <x:c r="G479" s="72"/>
      <x:c r="H479" s="72"/>
      <x:c r="I479" s="72"/>
      <x:c r="J479" s="72"/>
      <x:c r="K479" s="72"/>
      <x:c r="L479" s="72"/>
      <x:c r="M479" s="72"/>
      <x:c r="N479" s="72"/>
      <x:c r="O479" s="72"/>
      <x:c r="P479" s="72"/>
      <x:c r="Q479" s="72"/>
      <x:c r="R479" s="72"/>
      <x:c r="S479" s="73"/>
    </x:row>
    <x:row r="480">
      <x:c r="A480" s="81"/>
      <x:c r="B480" s="72"/>
      <x:c r="C480" s="72"/>
      <x:c r="D480" s="72"/>
      <x:c r="E480" s="72"/>
      <x:c r="F480" s="72"/>
      <x:c r="G480" s="72"/>
      <x:c r="H480" s="72"/>
      <x:c r="I480" s="72"/>
      <x:c r="J480" s="72"/>
      <x:c r="K480" s="72"/>
      <x:c r="L480" s="72"/>
      <x:c r="M480" s="72"/>
      <x:c r="N480" s="72"/>
      <x:c r="O480" s="72"/>
      <x:c r="P480" s="72"/>
      <x:c r="Q480" s="72"/>
      <x:c r="R480" s="72"/>
      <x:c r="S480" s="73"/>
    </x:row>
    <x:row r="481">
      <x:c r="A481" s="81"/>
      <x:c r="B481" s="72"/>
      <x:c r="C481" s="72"/>
      <x:c r="D481" s="72"/>
      <x:c r="E481" s="72"/>
      <x:c r="F481" s="72"/>
      <x:c r="G481" s="72"/>
      <x:c r="H481" s="72"/>
      <x:c r="I481" s="72"/>
      <x:c r="J481" s="72"/>
      <x:c r="K481" s="72"/>
      <x:c r="L481" s="72"/>
      <x:c r="M481" s="72"/>
      <x:c r="N481" s="72"/>
      <x:c r="O481" s="72"/>
      <x:c r="P481" s="72"/>
      <x:c r="Q481" s="72"/>
      <x:c r="R481" s="72"/>
      <x:c r="S481" s="73"/>
    </x:row>
    <x:row r="482">
      <x:c r="A482" s="81"/>
      <x:c r="B482" s="72"/>
      <x:c r="C482" s="72"/>
      <x:c r="D482" s="72"/>
      <x:c r="E482" s="72"/>
      <x:c r="F482" s="72"/>
      <x:c r="G482" s="72"/>
      <x:c r="H482" s="72"/>
      <x:c r="I482" s="72"/>
      <x:c r="J482" s="72"/>
      <x:c r="K482" s="72"/>
      <x:c r="L482" s="72"/>
      <x:c r="M482" s="72"/>
      <x:c r="N482" s="72"/>
      <x:c r="O482" s="72"/>
      <x:c r="P482" s="72"/>
      <x:c r="Q482" s="72"/>
      <x:c r="R482" s="72"/>
      <x:c r="S482" s="73"/>
    </x:row>
    <x:row r="483">
      <x:c r="A483" s="81"/>
      <x:c r="B483" s="72"/>
      <x:c r="C483" s="72"/>
      <x:c r="D483" s="72"/>
      <x:c r="E483" s="72"/>
      <x:c r="F483" s="72"/>
      <x:c r="G483" s="72"/>
      <x:c r="H483" s="72"/>
      <x:c r="I483" s="72"/>
      <x:c r="J483" s="72"/>
      <x:c r="K483" s="72"/>
      <x:c r="L483" s="72"/>
      <x:c r="M483" s="72"/>
      <x:c r="N483" s="72"/>
      <x:c r="O483" s="72"/>
      <x:c r="P483" s="72"/>
      <x:c r="Q483" s="72"/>
      <x:c r="R483" s="72"/>
      <x:c r="S483" s="73"/>
    </x:row>
    <x:row r="484">
      <x:c r="A484" s="81"/>
      <x:c r="B484" s="72"/>
      <x:c r="C484" s="72"/>
      <x:c r="D484" s="72"/>
      <x:c r="E484" s="72"/>
      <x:c r="F484" s="72"/>
      <x:c r="G484" s="72"/>
      <x:c r="H484" s="72"/>
      <x:c r="I484" s="72"/>
      <x:c r="J484" s="72"/>
      <x:c r="K484" s="72"/>
      <x:c r="L484" s="72"/>
      <x:c r="M484" s="72"/>
      <x:c r="N484" s="72"/>
      <x:c r="O484" s="72"/>
      <x:c r="P484" s="72"/>
      <x:c r="Q484" s="72"/>
      <x:c r="R484" s="72"/>
      <x:c r="S484" s="73"/>
    </x:row>
    <x:row r="485">
      <x:c r="A485" s="81"/>
      <x:c r="B485" s="72"/>
      <x:c r="C485" s="72"/>
      <x:c r="D485" s="72"/>
      <x:c r="E485" s="72"/>
      <x:c r="F485" s="72"/>
      <x:c r="G485" s="72"/>
      <x:c r="H485" s="72"/>
      <x:c r="I485" s="72"/>
      <x:c r="J485" s="72"/>
      <x:c r="K485" s="72"/>
      <x:c r="L485" s="72"/>
      <x:c r="M485" s="72"/>
      <x:c r="N485" s="72"/>
      <x:c r="O485" s="72"/>
      <x:c r="P485" s="72"/>
      <x:c r="Q485" s="72"/>
      <x:c r="R485" s="72"/>
      <x:c r="S485" s="73"/>
    </x:row>
    <x:row r="486">
      <x:c r="A486" s="81"/>
      <x:c r="B486" s="72"/>
      <x:c r="C486" s="72"/>
      <x:c r="D486" s="72"/>
      <x:c r="E486" s="72"/>
      <x:c r="F486" s="72"/>
      <x:c r="G486" s="72"/>
      <x:c r="H486" s="72"/>
      <x:c r="I486" s="72"/>
      <x:c r="J486" s="72"/>
      <x:c r="K486" s="72"/>
      <x:c r="L486" s="72"/>
      <x:c r="M486" s="72"/>
      <x:c r="N486" s="72"/>
      <x:c r="O486" s="72"/>
      <x:c r="P486" s="72"/>
      <x:c r="Q486" s="72"/>
      <x:c r="R486" s="72"/>
      <x:c r="S486" s="73"/>
    </x:row>
    <x:row r="487">
      <x:c r="A487" s="81"/>
      <x:c r="B487" s="72"/>
      <x:c r="C487" s="72"/>
      <x:c r="D487" s="72"/>
      <x:c r="E487" s="72"/>
      <x:c r="F487" s="72"/>
      <x:c r="G487" s="72"/>
      <x:c r="H487" s="72"/>
      <x:c r="I487" s="72"/>
      <x:c r="J487" s="72"/>
      <x:c r="K487" s="72"/>
      <x:c r="L487" s="72"/>
      <x:c r="M487" s="72"/>
      <x:c r="N487" s="72"/>
      <x:c r="O487" s="72"/>
      <x:c r="P487" s="72"/>
      <x:c r="Q487" s="72"/>
      <x:c r="R487" s="72"/>
      <x:c r="S487" s="73"/>
    </x:row>
    <x:row r="488">
      <x:c r="A488" s="81"/>
      <x:c r="B488" s="72"/>
      <x:c r="C488" s="72"/>
      <x:c r="D488" s="72"/>
      <x:c r="E488" s="72"/>
      <x:c r="F488" s="72"/>
      <x:c r="G488" s="72"/>
      <x:c r="H488" s="72"/>
      <x:c r="I488" s="72"/>
      <x:c r="J488" s="72"/>
      <x:c r="K488" s="72"/>
      <x:c r="L488" s="72"/>
      <x:c r="M488" s="72"/>
      <x:c r="N488" s="72"/>
      <x:c r="O488" s="72"/>
      <x:c r="P488" s="72"/>
      <x:c r="Q488" s="72"/>
      <x:c r="R488" s="72"/>
      <x:c r="S488" s="73"/>
    </x:row>
    <x:row r="489">
      <x:c r="A489" s="81"/>
      <x:c r="B489" s="72"/>
      <x:c r="C489" s="72"/>
      <x:c r="D489" s="72"/>
      <x:c r="E489" s="72"/>
      <x:c r="F489" s="72"/>
      <x:c r="G489" s="72"/>
      <x:c r="H489" s="72"/>
      <x:c r="I489" s="72"/>
      <x:c r="J489" s="72"/>
      <x:c r="K489" s="72"/>
      <x:c r="L489" s="72"/>
      <x:c r="M489" s="72"/>
      <x:c r="N489" s="72"/>
      <x:c r="O489" s="72"/>
      <x:c r="P489" s="72"/>
      <x:c r="Q489" s="72"/>
      <x:c r="R489" s="72"/>
      <x:c r="S489" s="73"/>
    </x:row>
    <x:row r="490">
      <x:c r="A490" s="81"/>
      <x:c r="B490" s="72"/>
      <x:c r="C490" s="72"/>
      <x:c r="D490" s="72"/>
      <x:c r="E490" s="72"/>
      <x:c r="F490" s="72"/>
      <x:c r="G490" s="72"/>
      <x:c r="H490" s="72"/>
      <x:c r="I490" s="72"/>
      <x:c r="J490" s="72"/>
      <x:c r="K490" s="72"/>
      <x:c r="L490" s="72"/>
      <x:c r="M490" s="72"/>
      <x:c r="N490" s="72"/>
      <x:c r="O490" s="72"/>
      <x:c r="P490" s="72"/>
      <x:c r="Q490" s="72"/>
      <x:c r="R490" s="72"/>
      <x:c r="S490" s="73"/>
    </x:row>
    <x:row r="491">
      <x:c r="A491" s="81"/>
      <x:c r="B491" s="72"/>
      <x:c r="C491" s="72"/>
      <x:c r="D491" s="72"/>
      <x:c r="E491" s="72"/>
      <x:c r="F491" s="72"/>
      <x:c r="G491" s="72"/>
      <x:c r="H491" s="72"/>
      <x:c r="I491" s="72"/>
      <x:c r="J491" s="72"/>
      <x:c r="K491" s="72"/>
      <x:c r="L491" s="72"/>
      <x:c r="M491" s="72"/>
      <x:c r="N491" s="72"/>
      <x:c r="O491" s="72"/>
      <x:c r="P491" s="72"/>
      <x:c r="Q491" s="72"/>
      <x:c r="R491" s="72"/>
      <x:c r="S491" s="73"/>
    </x:row>
    <x:row r="492">
      <x:c r="A492" s="81"/>
      <x:c r="B492" s="72"/>
      <x:c r="C492" s="72"/>
      <x:c r="D492" s="72"/>
      <x:c r="E492" s="72"/>
      <x:c r="F492" s="72"/>
      <x:c r="G492" s="72"/>
      <x:c r="H492" s="72"/>
      <x:c r="I492" s="72"/>
      <x:c r="J492" s="72"/>
      <x:c r="K492" s="72"/>
      <x:c r="L492" s="72"/>
      <x:c r="M492" s="72"/>
      <x:c r="N492" s="72"/>
      <x:c r="O492" s="72"/>
      <x:c r="P492" s="72"/>
      <x:c r="Q492" s="72"/>
      <x:c r="R492" s="72"/>
      <x:c r="S492" s="73"/>
    </x:row>
    <x:row r="493">
      <x:c r="A493" s="81"/>
      <x:c r="B493" s="72"/>
      <x:c r="C493" s="72"/>
      <x:c r="D493" s="72"/>
      <x:c r="E493" s="72"/>
      <x:c r="F493" s="72"/>
      <x:c r="G493" s="72"/>
      <x:c r="H493" s="72"/>
      <x:c r="I493" s="72"/>
      <x:c r="J493" s="72"/>
      <x:c r="K493" s="72"/>
      <x:c r="L493" s="72"/>
      <x:c r="M493" s="72"/>
      <x:c r="N493" s="72"/>
      <x:c r="O493" s="72"/>
      <x:c r="P493" s="72"/>
      <x:c r="Q493" s="72"/>
      <x:c r="R493" s="72"/>
      <x:c r="S493" s="73"/>
    </x:row>
    <x:row r="494">
      <x:c r="A494" s="81"/>
      <x:c r="B494" s="72"/>
      <x:c r="C494" s="72"/>
      <x:c r="D494" s="72"/>
      <x:c r="E494" s="72"/>
      <x:c r="F494" s="72"/>
      <x:c r="G494" s="72"/>
      <x:c r="H494" s="72"/>
      <x:c r="I494" s="72"/>
      <x:c r="J494" s="72"/>
      <x:c r="K494" s="72"/>
      <x:c r="L494" s="72"/>
      <x:c r="M494" s="72"/>
      <x:c r="N494" s="72"/>
      <x:c r="O494" s="72"/>
      <x:c r="P494" s="72"/>
      <x:c r="Q494" s="72"/>
      <x:c r="R494" s="72"/>
      <x:c r="S494" s="73"/>
    </x:row>
    <x:row r="495">
      <x:c r="A495" s="81"/>
      <x:c r="B495" s="72"/>
      <x:c r="C495" s="72"/>
      <x:c r="D495" s="72"/>
      <x:c r="E495" s="72"/>
      <x:c r="F495" s="72"/>
      <x:c r="G495" s="72"/>
      <x:c r="H495" s="72"/>
      <x:c r="I495" s="72"/>
      <x:c r="J495" s="72"/>
      <x:c r="K495" s="72"/>
      <x:c r="L495" s="72"/>
      <x:c r="M495" s="72"/>
      <x:c r="N495" s="72"/>
      <x:c r="O495" s="72"/>
      <x:c r="P495" s="72"/>
      <x:c r="Q495" s="72"/>
      <x:c r="R495" s="72"/>
      <x:c r="S495" s="73"/>
    </x:row>
    <x:row r="496">
      <x:c r="A496" s="81"/>
      <x:c r="B496" s="72"/>
      <x:c r="C496" s="72"/>
      <x:c r="D496" s="72"/>
      <x:c r="E496" s="72"/>
      <x:c r="F496" s="72"/>
      <x:c r="G496" s="72"/>
      <x:c r="H496" s="72"/>
      <x:c r="I496" s="72"/>
      <x:c r="J496" s="72"/>
      <x:c r="K496" s="72"/>
      <x:c r="L496" s="72"/>
      <x:c r="M496" s="72"/>
      <x:c r="N496" s="72"/>
      <x:c r="O496" s="72"/>
      <x:c r="P496" s="72"/>
      <x:c r="Q496" s="72"/>
      <x:c r="R496" s="72"/>
      <x:c r="S496" s="73"/>
    </x:row>
    <x:row r="497">
      <x:c r="A497" s="81"/>
      <x:c r="B497" s="72"/>
      <x:c r="C497" s="72"/>
      <x:c r="D497" s="72"/>
      <x:c r="E497" s="72"/>
      <x:c r="F497" s="72"/>
      <x:c r="G497" s="72"/>
      <x:c r="H497" s="72"/>
      <x:c r="I497" s="72"/>
      <x:c r="J497" s="72"/>
      <x:c r="K497" s="72"/>
      <x:c r="L497" s="72"/>
      <x:c r="M497" s="72"/>
      <x:c r="N497" s="72"/>
      <x:c r="O497" s="72"/>
      <x:c r="P497" s="72"/>
      <x:c r="Q497" s="72"/>
      <x:c r="R497" s="72"/>
      <x:c r="S497" s="73"/>
    </x:row>
    <x:row r="498">
      <x:c r="A498" s="81"/>
      <x:c r="B498" s="72"/>
      <x:c r="C498" s="72"/>
      <x:c r="D498" s="72"/>
      <x:c r="E498" s="72"/>
      <x:c r="F498" s="72"/>
      <x:c r="G498" s="72"/>
      <x:c r="H498" s="72"/>
      <x:c r="I498" s="72"/>
      <x:c r="J498" s="72"/>
      <x:c r="K498" s="72"/>
      <x:c r="L498" s="72"/>
      <x:c r="M498" s="72"/>
      <x:c r="N498" s="72"/>
      <x:c r="O498" s="72"/>
      <x:c r="P498" s="72"/>
      <x:c r="Q498" s="72"/>
      <x:c r="R498" s="72"/>
      <x:c r="S498" s="73"/>
    </x:row>
    <x:row r="499">
      <x:c r="A499" s="81"/>
      <x:c r="B499" s="72"/>
      <x:c r="C499" s="72"/>
      <x:c r="D499" s="72"/>
      <x:c r="E499" s="72"/>
      <x:c r="F499" s="72"/>
      <x:c r="G499" s="72"/>
      <x:c r="H499" s="72"/>
      <x:c r="I499" s="72"/>
      <x:c r="J499" s="72"/>
      <x:c r="K499" s="72"/>
      <x:c r="L499" s="72"/>
      <x:c r="M499" s="72"/>
      <x:c r="N499" s="72"/>
      <x:c r="O499" s="72"/>
      <x:c r="P499" s="72"/>
      <x:c r="Q499" s="72"/>
      <x:c r="R499" s="72"/>
      <x:c r="S499" s="73"/>
    </x:row>
    <x:row r="500">
      <x:c r="A500" s="81"/>
      <x:c r="B500" s="72"/>
      <x:c r="C500" s="72"/>
      <x:c r="D500" s="72"/>
      <x:c r="E500" s="72"/>
      <x:c r="F500" s="72"/>
      <x:c r="G500" s="72"/>
      <x:c r="H500" s="72"/>
      <x:c r="I500" s="72"/>
      <x:c r="J500" s="72"/>
      <x:c r="K500" s="72"/>
      <x:c r="L500" s="72"/>
      <x:c r="M500" s="72"/>
      <x:c r="N500" s="72"/>
      <x:c r="O500" s="72"/>
      <x:c r="P500" s="72"/>
      <x:c r="Q500" s="72"/>
      <x:c r="R500" s="72"/>
      <x:c r="S500" s="73"/>
    </x:row>
    <x:row r="501">
      <x:c r="A501" s="82"/>
      <x:c r="B501" s="83"/>
      <x:c r="C501" s="83"/>
      <x:c r="D501" s="83"/>
      <x:c r="E501" s="83"/>
      <x:c r="F501" s="83"/>
      <x:c r="G501" s="83"/>
      <x:c r="H501" s="83"/>
      <x:c r="I501" s="83"/>
      <x:c r="J501" s="83"/>
      <x:c r="K501" s="83"/>
      <x:c r="L501" s="83"/>
      <x:c r="M501" s="83"/>
      <x:c r="N501" s="83"/>
      <x:c r="O501" s="83"/>
      <x:c r="P501" s="83"/>
      <x:c r="Q501" s="83"/>
      <x:c r="R501" s="83"/>
      <x:c r="S501" s="84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28" customHeight="1">
      <x:c r="A1" s="138" t="str">
        <x:v>Raw PDF Extract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8"/>
      <x:c r="S1" s="69"/>
    </x:row>
    <x:row r="2">
      <x:c r="A2" s="81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3"/>
    </x:row>
    <x:row r="3">
      <x:c r="A3" s="139" t="str">
        <x:v>Source File</x:v>
      </x:c>
      <x:c r="B3" s="72" t="str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3"/>
    </x:row>
    <x:row r="4">
      <x:c r="A4" s="139"/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3"/>
    </x:row>
    <x:row r="5">
      <x:c r="A5" s="139" t="str">
        <x:v>Extracted Text</x:v>
      </x:c>
      <x:c r="B5" s="72"/>
      <x:c r="C5" s="72"/>
      <x:c r="D5" s="72"/>
      <x:c r="E5" s="72"/>
      <x:c r="F5" s="72"/>
      <x:c r="G5" s="72"/>
      <x:c r="H5" s="72"/>
      <x:c r="I5" s="72"/>
      <x:c r="J5" s="72"/>
      <x:c r="K5" s="72"/>
      <x:c r="L5" s="72"/>
      <x:c r="M5" s="72"/>
      <x:c r="N5" s="72"/>
      <x:c r="O5" s="72"/>
      <x:c r="P5" s="72"/>
      <x:c r="Q5" s="72"/>
      <x:c r="R5" s="72"/>
      <x:c r="S5" s="73"/>
    </x:row>
    <x:row r="6" ht="18" customHeight="1">
      <x:c r="A6" s="107" t="str"/>
      <x:c r="B6" s="108"/>
      <x:c r="C6" s="108"/>
      <x:c r="D6" s="108"/>
      <x:c r="E6" s="72"/>
      <x:c r="F6" s="72"/>
      <x:c r="G6" s="72"/>
      <x:c r="H6" s="72"/>
      <x:c r="I6" s="72"/>
      <x:c r="J6" s="72"/>
      <x:c r="K6" s="72"/>
      <x:c r="L6" s="72"/>
      <x:c r="M6" s="72"/>
      <x:c r="N6" s="72"/>
      <x:c r="O6" s="72"/>
      <x:c r="P6" s="72"/>
      <x:c r="Q6" s="72"/>
      <x:c r="R6" s="72"/>
      <x:c r="S6" s="73"/>
    </x:row>
    <x:row r="7" ht="18" customHeight="1">
      <x:c r="A7" s="107"/>
      <x:c r="B7" s="108"/>
      <x:c r="C7" s="108"/>
      <x:c r="D7" s="108"/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  <x:c r="S7" s="73"/>
    </x:row>
    <x:row r="8" ht="18" customHeight="1">
      <x:c r="A8" s="107"/>
      <x:c r="B8" s="108"/>
      <x:c r="C8" s="108"/>
      <x:c r="D8" s="108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/>
      <x:c r="P8" s="72"/>
      <x:c r="Q8" s="72"/>
      <x:c r="R8" s="72"/>
      <x:c r="S8" s="73"/>
    </x:row>
    <x:row r="9" ht="18" customHeight="1">
      <x:c r="A9" s="107"/>
      <x:c r="B9" s="108"/>
      <x:c r="C9" s="108"/>
      <x:c r="D9" s="108"/>
      <x:c r="E9" s="72"/>
      <x:c r="F9" s="72"/>
      <x:c r="G9" s="72"/>
      <x:c r="H9" s="72"/>
      <x:c r="I9" s="72"/>
      <x:c r="J9" s="72"/>
      <x:c r="K9" s="72"/>
      <x:c r="L9" s="72"/>
      <x:c r="M9" s="72"/>
      <x:c r="N9" s="72"/>
      <x:c r="O9" s="72"/>
      <x:c r="P9" s="72"/>
      <x:c r="Q9" s="72"/>
      <x:c r="R9" s="72"/>
      <x:c r="S9" s="73"/>
    </x:row>
    <x:row r="10" ht="18" customHeight="1">
      <x:c r="A10" s="107"/>
      <x:c r="B10" s="108"/>
      <x:c r="C10" s="108"/>
      <x:c r="D10" s="108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/>
      <x:c r="P10" s="72"/>
      <x:c r="Q10" s="72"/>
      <x:c r="R10" s="72"/>
      <x:c r="S10" s="73"/>
    </x:row>
    <x:row r="11" ht="18" customHeight="1">
      <x:c r="A11" s="107"/>
      <x:c r="B11" s="108"/>
      <x:c r="C11" s="108"/>
      <x:c r="D11" s="108"/>
      <x:c r="E11" s="72"/>
      <x:c r="F11" s="72"/>
      <x:c r="G11" s="72"/>
      <x:c r="H11" s="72"/>
      <x:c r="I11" s="72"/>
      <x:c r="J11" s="72"/>
      <x:c r="K11" s="72"/>
      <x:c r="L11" s="72"/>
      <x:c r="M11" s="72"/>
      <x:c r="N11" s="72"/>
      <x:c r="O11" s="72"/>
      <x:c r="P11" s="72"/>
      <x:c r="Q11" s="72"/>
      <x:c r="R11" s="72"/>
      <x:c r="S11" s="73"/>
    </x:row>
    <x:row r="12" ht="18" customHeight="1">
      <x:c r="A12" s="107"/>
      <x:c r="B12" s="108"/>
      <x:c r="C12" s="108"/>
      <x:c r="D12" s="108"/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  <x:c r="O12" s="72"/>
      <x:c r="P12" s="72"/>
      <x:c r="Q12" s="72"/>
      <x:c r="R12" s="72"/>
      <x:c r="S12" s="73"/>
    </x:row>
    <x:row r="13" ht="18" customHeight="1">
      <x:c r="A13" s="107"/>
      <x:c r="B13" s="108"/>
      <x:c r="C13" s="108"/>
      <x:c r="D13" s="108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/>
      <x:c r="P13" s="72"/>
      <x:c r="Q13" s="72"/>
      <x:c r="R13" s="72"/>
      <x:c r="S13" s="73"/>
    </x:row>
    <x:row r="14" ht="18" customHeight="1">
      <x:c r="A14" s="107"/>
      <x:c r="B14" s="108"/>
      <x:c r="C14" s="108"/>
      <x:c r="D14" s="108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/>
      <x:c r="P14" s="72"/>
      <x:c r="Q14" s="72"/>
      <x:c r="R14" s="72"/>
      <x:c r="S14" s="73"/>
    </x:row>
    <x:row r="15" ht="18" customHeight="1">
      <x:c r="A15" s="107"/>
      <x:c r="B15" s="108"/>
      <x:c r="C15" s="108"/>
      <x:c r="D15" s="108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/>
      <x:c r="P15" s="72"/>
      <x:c r="Q15" s="72"/>
      <x:c r="R15" s="72"/>
      <x:c r="S15" s="73"/>
    </x:row>
    <x:row r="16" ht="18" customHeight="1">
      <x:c r="A16" s="107"/>
      <x:c r="B16" s="108"/>
      <x:c r="C16" s="108"/>
      <x:c r="D16" s="108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/>
      <x:c r="P16" s="72"/>
      <x:c r="Q16" s="72"/>
      <x:c r="R16" s="72"/>
      <x:c r="S16" s="73"/>
    </x:row>
    <x:row r="17" ht="18" customHeight="1">
      <x:c r="A17" s="107"/>
      <x:c r="B17" s="108"/>
      <x:c r="C17" s="108"/>
      <x:c r="D17" s="108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/>
      <x:c r="P17" s="72"/>
      <x:c r="Q17" s="72"/>
      <x:c r="R17" s="72"/>
      <x:c r="S17" s="73"/>
    </x:row>
    <x:row r="18" ht="18" customHeight="1">
      <x:c r="A18" s="107"/>
      <x:c r="B18" s="108"/>
      <x:c r="C18" s="108"/>
      <x:c r="D18" s="108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/>
      <x:c r="P18" s="72"/>
      <x:c r="Q18" s="72"/>
      <x:c r="R18" s="72"/>
      <x:c r="S18" s="73"/>
    </x:row>
    <x:row r="19" ht="18" customHeight="1">
      <x:c r="A19" s="107"/>
      <x:c r="B19" s="108"/>
      <x:c r="C19" s="108"/>
      <x:c r="D19" s="108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/>
      <x:c r="P19" s="72"/>
      <x:c r="Q19" s="72"/>
      <x:c r="R19" s="72"/>
      <x:c r="S19" s="73"/>
    </x:row>
    <x:row r="20" ht="18" customHeight="1">
      <x:c r="A20" s="107"/>
      <x:c r="B20" s="108"/>
      <x:c r="C20" s="108"/>
      <x:c r="D20" s="108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/>
      <x:c r="P20" s="72"/>
      <x:c r="Q20" s="72"/>
      <x:c r="R20" s="72"/>
      <x:c r="S20" s="73"/>
    </x:row>
    <x:row r="21" ht="18" customHeight="1">
      <x:c r="A21" s="107"/>
      <x:c r="B21" s="108"/>
      <x:c r="C21" s="108"/>
      <x:c r="D21" s="108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/>
      <x:c r="P21" s="72"/>
      <x:c r="Q21" s="72"/>
      <x:c r="R21" s="72"/>
      <x:c r="S21" s="73"/>
    </x:row>
    <x:row r="22" ht="18" customHeight="1">
      <x:c r="A22" s="107"/>
      <x:c r="B22" s="108"/>
      <x:c r="C22" s="108"/>
      <x:c r="D22" s="108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/>
      <x:c r="P22" s="72"/>
      <x:c r="Q22" s="72"/>
      <x:c r="R22" s="72"/>
      <x:c r="S22" s="73"/>
    </x:row>
    <x:row r="23" ht="18" customHeight="1">
      <x:c r="A23" s="107"/>
      <x:c r="B23" s="108"/>
      <x:c r="C23" s="108"/>
      <x:c r="D23" s="108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/>
      <x:c r="P23" s="72"/>
      <x:c r="Q23" s="72"/>
      <x:c r="R23" s="72"/>
      <x:c r="S23" s="73"/>
    </x:row>
    <x:row r="24" ht="18" customHeight="1">
      <x:c r="A24" s="107"/>
      <x:c r="B24" s="108"/>
      <x:c r="C24" s="108"/>
      <x:c r="D24" s="108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/>
      <x:c r="P24" s="72"/>
      <x:c r="Q24" s="72"/>
      <x:c r="R24" s="72"/>
      <x:c r="S24" s="73"/>
    </x:row>
    <x:row r="25" ht="18" customHeight="1">
      <x:c r="A25" s="107"/>
      <x:c r="B25" s="108"/>
      <x:c r="C25" s="108"/>
      <x:c r="D25" s="108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/>
      <x:c r="P25" s="72"/>
      <x:c r="Q25" s="72"/>
      <x:c r="R25" s="72"/>
      <x:c r="S25" s="73"/>
    </x:row>
    <x:row r="26" ht="18" customHeight="1">
      <x:c r="A26" s="107"/>
      <x:c r="B26" s="108"/>
      <x:c r="C26" s="108"/>
      <x:c r="D26" s="108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/>
      <x:c r="P26" s="72"/>
      <x:c r="Q26" s="72"/>
      <x:c r="R26" s="72"/>
      <x:c r="S26" s="73"/>
    </x:row>
    <x:row r="27" ht="18" customHeight="1">
      <x:c r="A27" s="107"/>
      <x:c r="B27" s="108"/>
      <x:c r="C27" s="108"/>
      <x:c r="D27" s="108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/>
      <x:c r="P27" s="72"/>
      <x:c r="Q27" s="72"/>
      <x:c r="R27" s="72"/>
      <x:c r="S27" s="73"/>
    </x:row>
    <x:row r="28" ht="18" customHeight="1">
      <x:c r="A28" s="107"/>
      <x:c r="B28" s="108"/>
      <x:c r="C28" s="108"/>
      <x:c r="D28" s="108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/>
      <x:c r="P28" s="72"/>
      <x:c r="Q28" s="72"/>
      <x:c r="R28" s="72"/>
      <x:c r="S28" s="73"/>
    </x:row>
    <x:row r="29" ht="18" customHeight="1">
      <x:c r="A29" s="107"/>
      <x:c r="B29" s="108"/>
      <x:c r="C29" s="108"/>
      <x:c r="D29" s="108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/>
      <x:c r="P29" s="72"/>
      <x:c r="Q29" s="72"/>
      <x:c r="R29" s="72"/>
      <x:c r="S29" s="73"/>
    </x:row>
    <x:row r="30" ht="18" customHeight="1">
      <x:c r="A30" s="107"/>
      <x:c r="B30" s="108"/>
      <x:c r="C30" s="108"/>
      <x:c r="D30" s="108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/>
      <x:c r="P30" s="72"/>
      <x:c r="Q30" s="72"/>
      <x:c r="R30" s="72"/>
      <x:c r="S30" s="73"/>
    </x:row>
    <x:row r="31" ht="18" customHeight="1">
      <x:c r="A31" s="107"/>
      <x:c r="B31" s="108"/>
      <x:c r="C31" s="108"/>
      <x:c r="D31" s="108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/>
      <x:c r="P31" s="72"/>
      <x:c r="Q31" s="72"/>
      <x:c r="R31" s="72"/>
      <x:c r="S31" s="73"/>
    </x:row>
    <x:row r="32" ht="18" customHeight="1">
      <x:c r="A32" s="107"/>
      <x:c r="B32" s="108"/>
      <x:c r="C32" s="108"/>
      <x:c r="D32" s="108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/>
      <x:c r="P32" s="72"/>
      <x:c r="Q32" s="72"/>
      <x:c r="R32" s="72"/>
      <x:c r="S32" s="73"/>
    </x:row>
    <x:row r="33" ht="18" customHeight="1">
      <x:c r="A33" s="107"/>
      <x:c r="B33" s="108"/>
      <x:c r="C33" s="108"/>
      <x:c r="D33" s="108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/>
      <x:c r="P33" s="72"/>
      <x:c r="Q33" s="72"/>
      <x:c r="R33" s="72"/>
      <x:c r="S33" s="73"/>
    </x:row>
    <x:row r="34" ht="18" customHeight="1">
      <x:c r="A34" s="107"/>
      <x:c r="B34" s="108"/>
      <x:c r="C34" s="108"/>
      <x:c r="D34" s="108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/>
      <x:c r="P34" s="72"/>
      <x:c r="Q34" s="72"/>
      <x:c r="R34" s="72"/>
      <x:c r="S34" s="73"/>
    </x:row>
    <x:row r="35" ht="18" customHeight="1">
      <x:c r="A35" s="107"/>
      <x:c r="B35" s="108"/>
      <x:c r="C35" s="108"/>
      <x:c r="D35" s="108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/>
      <x:c r="P35" s="72"/>
      <x:c r="Q35" s="72"/>
      <x:c r="R35" s="72"/>
      <x:c r="S35" s="73"/>
    </x:row>
    <x:row r="36" ht="18" customHeight="1">
      <x:c r="A36" s="107"/>
      <x:c r="B36" s="108"/>
      <x:c r="C36" s="108"/>
      <x:c r="D36" s="108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/>
      <x:c r="P36" s="72"/>
      <x:c r="Q36" s="72"/>
      <x:c r="R36" s="72"/>
      <x:c r="S36" s="73"/>
    </x:row>
    <x:row r="37" ht="18" customHeight="1">
      <x:c r="A37" s="107"/>
      <x:c r="B37" s="108"/>
      <x:c r="C37" s="108"/>
      <x:c r="D37" s="108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/>
      <x:c r="P37" s="72"/>
      <x:c r="Q37" s="72"/>
      <x:c r="R37" s="72"/>
      <x:c r="S37" s="73"/>
    </x:row>
    <x:row r="38" ht="18" customHeight="1">
      <x:c r="A38" s="107"/>
      <x:c r="B38" s="108"/>
      <x:c r="C38" s="108"/>
      <x:c r="D38" s="108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/>
      <x:c r="P38" s="72"/>
      <x:c r="Q38" s="72"/>
      <x:c r="R38" s="72"/>
      <x:c r="S38" s="73"/>
    </x:row>
    <x:row r="39" ht="18" customHeight="1">
      <x:c r="A39" s="107"/>
      <x:c r="B39" s="108"/>
      <x:c r="C39" s="108"/>
      <x:c r="D39" s="108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/>
      <x:c r="P39" s="72"/>
      <x:c r="Q39" s="72"/>
      <x:c r="R39" s="72"/>
      <x:c r="S39" s="73"/>
    </x:row>
    <x:row r="40" ht="18" customHeight="1">
      <x:c r="A40" s="107"/>
      <x:c r="B40" s="108"/>
      <x:c r="C40" s="108"/>
      <x:c r="D40" s="108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/>
      <x:c r="P40" s="72"/>
      <x:c r="Q40" s="72"/>
      <x:c r="R40" s="72"/>
      <x:c r="S40" s="73"/>
    </x:row>
    <x:row r="41">
      <x:c r="A41" s="81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/>
      <x:c r="P41" s="72"/>
      <x:c r="Q41" s="72"/>
      <x:c r="R41" s="72"/>
      <x:c r="S41" s="73"/>
    </x:row>
    <x:row r="42">
      <x:c r="A42" s="81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/>
      <x:c r="P42" s="72"/>
      <x:c r="Q42" s="72"/>
      <x:c r="R42" s="72"/>
      <x:c r="S42" s="73"/>
    </x:row>
    <x:row r="43">
      <x:c r="A43" s="81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/>
      <x:c r="P43" s="72"/>
      <x:c r="Q43" s="72"/>
      <x:c r="R43" s="72"/>
      <x:c r="S43" s="73"/>
    </x:row>
    <x:row r="44">
      <x:c r="A44" s="81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/>
      <x:c r="P44" s="72"/>
      <x:c r="Q44" s="72"/>
      <x:c r="R44" s="72"/>
      <x:c r="S44" s="73"/>
    </x:row>
    <x:row r="45">
      <x:c r="A45" s="81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/>
      <x:c r="P45" s="72"/>
      <x:c r="Q45" s="72"/>
      <x:c r="R45" s="72"/>
      <x:c r="S45" s="73"/>
    </x:row>
    <x:row r="46">
      <x:c r="A46" s="81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/>
      <x:c r="P46" s="72"/>
      <x:c r="Q46" s="72"/>
      <x:c r="R46" s="72"/>
      <x:c r="S46" s="73"/>
    </x:row>
    <x:row r="47">
      <x:c r="A47" s="81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/>
      <x:c r="P47" s="72"/>
      <x:c r="Q47" s="72"/>
      <x:c r="R47" s="72"/>
      <x:c r="S47" s="73"/>
    </x:row>
    <x:row r="48">
      <x:c r="A48" s="81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/>
      <x:c r="P48" s="72"/>
      <x:c r="Q48" s="72"/>
      <x:c r="R48" s="72"/>
      <x:c r="S48" s="73"/>
    </x:row>
    <x:row r="49">
      <x:c r="A49" s="81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/>
      <x:c r="P49" s="72"/>
      <x:c r="Q49" s="72"/>
      <x:c r="R49" s="72"/>
      <x:c r="S49" s="73"/>
    </x:row>
    <x:row r="50">
      <x:c r="A50" s="81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/>
      <x:c r="P50" s="72"/>
      <x:c r="Q50" s="72"/>
      <x:c r="R50" s="72"/>
      <x:c r="S50" s="73"/>
    </x:row>
    <x:row r="51">
      <x:c r="A51" s="81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/>
      <x:c r="P51" s="72"/>
      <x:c r="Q51" s="72"/>
      <x:c r="R51" s="72"/>
      <x:c r="S51" s="73"/>
    </x:row>
    <x:row r="52">
      <x:c r="A52" s="81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/>
      <x:c r="P52" s="72"/>
      <x:c r="Q52" s="72"/>
      <x:c r="R52" s="72"/>
      <x:c r="S52" s="73"/>
    </x:row>
    <x:row r="53">
      <x:c r="A53" s="81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/>
      <x:c r="P53" s="72"/>
      <x:c r="Q53" s="72"/>
      <x:c r="R53" s="72"/>
      <x:c r="S53" s="73"/>
    </x:row>
    <x:row r="54">
      <x:c r="A54" s="81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/>
      <x:c r="P54" s="72"/>
      <x:c r="Q54" s="72"/>
      <x:c r="R54" s="72"/>
      <x:c r="S54" s="73"/>
    </x:row>
    <x:row r="55">
      <x:c r="A55" s="81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2"/>
      <x:c r="Q55" s="72"/>
      <x:c r="R55" s="72"/>
      <x:c r="S55" s="73"/>
    </x:row>
    <x:row r="56">
      <x:c r="A56" s="81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2"/>
      <x:c r="Q56" s="72"/>
      <x:c r="R56" s="72"/>
      <x:c r="S56" s="73"/>
    </x:row>
    <x:row r="57">
      <x:c r="A57" s="81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/>
      <x:c r="P57" s="72"/>
      <x:c r="Q57" s="72"/>
      <x:c r="R57" s="72"/>
      <x:c r="S57" s="73"/>
    </x:row>
    <x:row r="58">
      <x:c r="A58" s="81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/>
      <x:c r="P58" s="72"/>
      <x:c r="Q58" s="72"/>
      <x:c r="R58" s="72"/>
      <x:c r="S58" s="73"/>
    </x:row>
    <x:row r="59">
      <x:c r="A59" s="81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/>
      <x:c r="P59" s="72"/>
      <x:c r="Q59" s="72"/>
      <x:c r="R59" s="72"/>
      <x:c r="S59" s="73"/>
    </x:row>
    <x:row r="60">
      <x:c r="A60" s="81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/>
      <x:c r="P60" s="72"/>
      <x:c r="Q60" s="72"/>
      <x:c r="R60" s="72"/>
      <x:c r="S60" s="73"/>
    </x:row>
    <x:row r="61">
      <x:c r="A61" s="81"/>
      <x:c r="B61" s="72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/>
      <x:c r="P61" s="72"/>
      <x:c r="Q61" s="72"/>
      <x:c r="R61" s="72"/>
      <x:c r="S61" s="73"/>
    </x:row>
    <x:row r="62">
      <x:c r="A62" s="81"/>
      <x:c r="B62" s="72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/>
      <x:c r="P62" s="72"/>
      <x:c r="Q62" s="72"/>
      <x:c r="R62" s="72"/>
      <x:c r="S62" s="73"/>
    </x:row>
    <x:row r="63">
      <x:c r="A63" s="81"/>
      <x:c r="B63" s="72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/>
      <x:c r="P63" s="72"/>
      <x:c r="Q63" s="72"/>
      <x:c r="R63" s="72"/>
      <x:c r="S63" s="73"/>
    </x:row>
    <x:row r="64">
      <x:c r="A64" s="81"/>
      <x:c r="B64" s="72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/>
      <x:c r="P64" s="72"/>
      <x:c r="Q64" s="72"/>
      <x:c r="R64" s="72"/>
      <x:c r="S64" s="73"/>
    </x:row>
    <x:row r="65">
      <x:c r="A65" s="81"/>
      <x:c r="B65" s="72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/>
      <x:c r="P65" s="72"/>
      <x:c r="Q65" s="72"/>
      <x:c r="R65" s="72"/>
      <x:c r="S65" s="73"/>
    </x:row>
    <x:row r="66">
      <x:c r="A66" s="81"/>
      <x:c r="B66" s="72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/>
      <x:c r="P66" s="72"/>
      <x:c r="Q66" s="72"/>
      <x:c r="R66" s="72"/>
      <x:c r="S66" s="73"/>
    </x:row>
    <x:row r="67">
      <x:c r="A67" s="81"/>
      <x:c r="B67" s="72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/>
      <x:c r="P67" s="72"/>
      <x:c r="Q67" s="72"/>
      <x:c r="R67" s="72"/>
      <x:c r="S67" s="73"/>
    </x:row>
    <x:row r="68">
      <x:c r="A68" s="81"/>
      <x:c r="B68" s="72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/>
      <x:c r="P68" s="72"/>
      <x:c r="Q68" s="72"/>
      <x:c r="R68" s="72"/>
      <x:c r="S68" s="73"/>
    </x:row>
    <x:row r="69">
      <x:c r="A69" s="81"/>
      <x:c r="B69" s="72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/>
      <x:c r="P69" s="72"/>
      <x:c r="Q69" s="72"/>
      <x:c r="R69" s="72"/>
      <x:c r="S69" s="73"/>
    </x:row>
    <x:row r="70">
      <x:c r="A70" s="81"/>
      <x:c r="B70" s="72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/>
      <x:c r="P70" s="72"/>
      <x:c r="Q70" s="72"/>
      <x:c r="R70" s="72"/>
      <x:c r="S70" s="73"/>
    </x:row>
    <x:row r="71">
      <x:c r="A71" s="81"/>
      <x:c r="B71" s="72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/>
      <x:c r="P71" s="72"/>
      <x:c r="Q71" s="72"/>
      <x:c r="R71" s="72"/>
      <x:c r="S71" s="73"/>
    </x:row>
    <x:row r="72">
      <x:c r="A72" s="81"/>
      <x:c r="B72" s="72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/>
      <x:c r="P72" s="72"/>
      <x:c r="Q72" s="72"/>
      <x:c r="R72" s="72"/>
      <x:c r="S72" s="73"/>
    </x:row>
    <x:row r="73">
      <x:c r="A73" s="81"/>
      <x:c r="B73" s="72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/>
      <x:c r="P73" s="72"/>
      <x:c r="Q73" s="72"/>
      <x:c r="R73" s="72"/>
      <x:c r="S73" s="73"/>
    </x:row>
    <x:row r="74">
      <x:c r="A74" s="81"/>
      <x:c r="B74" s="72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/>
      <x:c r="P74" s="72"/>
      <x:c r="Q74" s="72"/>
      <x:c r="R74" s="72"/>
      <x:c r="S74" s="73"/>
    </x:row>
    <x:row r="75">
      <x:c r="A75" s="81"/>
      <x:c r="B75" s="72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/>
      <x:c r="P75" s="72"/>
      <x:c r="Q75" s="72"/>
      <x:c r="R75" s="72"/>
      <x:c r="S75" s="73"/>
    </x:row>
    <x:row r="76">
      <x:c r="A76" s="81"/>
      <x:c r="B76" s="72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/>
      <x:c r="P76" s="72"/>
      <x:c r="Q76" s="72"/>
      <x:c r="R76" s="72"/>
      <x:c r="S76" s="73"/>
    </x:row>
    <x:row r="77">
      <x:c r="A77" s="81"/>
      <x:c r="B77" s="72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/>
      <x:c r="P77" s="72"/>
      <x:c r="Q77" s="72"/>
      <x:c r="R77" s="72"/>
      <x:c r="S77" s="73"/>
    </x:row>
    <x:row r="78">
      <x:c r="A78" s="81"/>
      <x:c r="B78" s="72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/>
      <x:c r="P78" s="72"/>
      <x:c r="Q78" s="72"/>
      <x:c r="R78" s="72"/>
      <x:c r="S78" s="73"/>
    </x:row>
    <x:row r="79">
      <x:c r="A79" s="81"/>
      <x:c r="B79" s="72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/>
      <x:c r="P79" s="72"/>
      <x:c r="Q79" s="72"/>
      <x:c r="R79" s="72"/>
      <x:c r="S79" s="73"/>
    </x:row>
    <x:row r="80">
      <x:c r="A80" s="81"/>
      <x:c r="B80" s="72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/>
      <x:c r="P80" s="72"/>
      <x:c r="Q80" s="72"/>
      <x:c r="R80" s="72"/>
      <x:c r="S80" s="73"/>
    </x:row>
    <x:row r="81">
      <x:c r="A81" s="81"/>
      <x:c r="B81" s="72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/>
      <x:c r="P81" s="72"/>
      <x:c r="Q81" s="72"/>
      <x:c r="R81" s="72"/>
      <x:c r="S81" s="73"/>
    </x:row>
    <x:row r="82">
      <x:c r="A82" s="81"/>
      <x:c r="B82" s="72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/>
      <x:c r="P82" s="72"/>
      <x:c r="Q82" s="72"/>
      <x:c r="R82" s="72"/>
      <x:c r="S82" s="73"/>
    </x:row>
    <x:row r="83">
      <x:c r="A83" s="81"/>
      <x:c r="B83" s="72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/>
      <x:c r="P83" s="72"/>
      <x:c r="Q83" s="72"/>
      <x:c r="R83" s="72"/>
      <x:c r="S83" s="73"/>
    </x:row>
    <x:row r="84">
      <x:c r="A84" s="81"/>
      <x:c r="B84" s="72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/>
      <x:c r="P84" s="72"/>
      <x:c r="Q84" s="72"/>
      <x:c r="R84" s="72"/>
      <x:c r="S84" s="73"/>
    </x:row>
    <x:row r="85">
      <x:c r="A85" s="81"/>
      <x:c r="B85" s="72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/>
      <x:c r="P85" s="72"/>
      <x:c r="Q85" s="72"/>
      <x:c r="R85" s="72"/>
      <x:c r="S85" s="73"/>
    </x:row>
    <x:row r="86">
      <x:c r="A86" s="81"/>
      <x:c r="B86" s="72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/>
      <x:c r="P86" s="72"/>
      <x:c r="Q86" s="72"/>
      <x:c r="R86" s="72"/>
      <x:c r="S86" s="73"/>
    </x:row>
    <x:row r="87">
      <x:c r="A87" s="81"/>
      <x:c r="B87" s="72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/>
      <x:c r="P87" s="72"/>
      <x:c r="Q87" s="72"/>
      <x:c r="R87" s="72"/>
      <x:c r="S87" s="73"/>
    </x:row>
    <x:row r="88">
      <x:c r="A88" s="81"/>
      <x:c r="B88" s="72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/>
      <x:c r="P88" s="72"/>
      <x:c r="Q88" s="72"/>
      <x:c r="R88" s="72"/>
      <x:c r="S88" s="73"/>
    </x:row>
    <x:row r="89">
      <x:c r="A89" s="81"/>
      <x:c r="B89" s="72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/>
      <x:c r="P89" s="72"/>
      <x:c r="Q89" s="72"/>
      <x:c r="R89" s="72"/>
      <x:c r="S89" s="73"/>
    </x:row>
    <x:row r="90">
      <x:c r="A90" s="81"/>
      <x:c r="B90" s="72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/>
      <x:c r="P90" s="72"/>
      <x:c r="Q90" s="72"/>
      <x:c r="R90" s="72"/>
      <x:c r="S90" s="73"/>
    </x:row>
    <x:row r="91">
      <x:c r="A91" s="81"/>
      <x:c r="B91" s="72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/>
      <x:c r="P91" s="72"/>
      <x:c r="Q91" s="72"/>
      <x:c r="R91" s="72"/>
      <x:c r="S91" s="73"/>
    </x:row>
    <x:row r="92">
      <x:c r="A92" s="81"/>
      <x:c r="B92" s="72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/>
      <x:c r="P92" s="72"/>
      <x:c r="Q92" s="72"/>
      <x:c r="R92" s="72"/>
      <x:c r="S92" s="73"/>
    </x:row>
    <x:row r="93">
      <x:c r="A93" s="81"/>
      <x:c r="B93" s="72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/>
      <x:c r="P93" s="72"/>
      <x:c r="Q93" s="72"/>
      <x:c r="R93" s="72"/>
      <x:c r="S93" s="73"/>
    </x:row>
    <x:row r="94">
      <x:c r="A94" s="81"/>
      <x:c r="B94" s="72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/>
      <x:c r="P94" s="72"/>
      <x:c r="Q94" s="72"/>
      <x:c r="R94" s="72"/>
      <x:c r="S94" s="73"/>
    </x:row>
    <x:row r="95">
      <x:c r="A95" s="81"/>
      <x:c r="B95" s="72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/>
      <x:c r="P95" s="72"/>
      <x:c r="Q95" s="72"/>
      <x:c r="R95" s="72"/>
      <x:c r="S95" s="73"/>
    </x:row>
    <x:row r="96">
      <x:c r="A96" s="81"/>
      <x:c r="B96" s="72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/>
      <x:c r="P96" s="72"/>
      <x:c r="Q96" s="72"/>
      <x:c r="R96" s="72"/>
      <x:c r="S96" s="73"/>
    </x:row>
    <x:row r="97">
      <x:c r="A97" s="81"/>
      <x:c r="B97" s="72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/>
      <x:c r="P97" s="72"/>
      <x:c r="Q97" s="72"/>
      <x:c r="R97" s="72"/>
      <x:c r="S97" s="73"/>
    </x:row>
    <x:row r="98">
      <x:c r="A98" s="81"/>
      <x:c r="B98" s="72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/>
      <x:c r="P98" s="72"/>
      <x:c r="Q98" s="72"/>
      <x:c r="R98" s="72"/>
      <x:c r="S98" s="73"/>
    </x:row>
    <x:row r="99">
      <x:c r="A99" s="81"/>
      <x:c r="B99" s="72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/>
      <x:c r="P99" s="72"/>
      <x:c r="Q99" s="72"/>
      <x:c r="R99" s="72"/>
      <x:c r="S99" s="73"/>
    </x:row>
    <x:row r="100">
      <x:c r="A100" s="81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/>
      <x:c r="P100" s="72"/>
      <x:c r="Q100" s="72"/>
      <x:c r="R100" s="72"/>
      <x:c r="S100" s="73"/>
    </x:row>
    <x:row r="101">
      <x:c r="A101" s="81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/>
      <x:c r="P101" s="72"/>
      <x:c r="Q101" s="72"/>
      <x:c r="R101" s="72"/>
      <x:c r="S101" s="73"/>
    </x:row>
    <x:row r="102">
      <x:c r="A102" s="81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/>
      <x:c r="P102" s="72"/>
      <x:c r="Q102" s="72"/>
      <x:c r="R102" s="72"/>
      <x:c r="S102" s="73"/>
    </x:row>
    <x:row r="103">
      <x:c r="A103" s="81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/>
      <x:c r="P103" s="72"/>
      <x:c r="Q103" s="72"/>
      <x:c r="R103" s="72"/>
      <x:c r="S103" s="73"/>
    </x:row>
    <x:row r="104">
      <x:c r="A104" s="81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/>
      <x:c r="P104" s="72"/>
      <x:c r="Q104" s="72"/>
      <x:c r="R104" s="72"/>
      <x:c r="S104" s="73"/>
    </x:row>
    <x:row r="105">
      <x:c r="A105" s="81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/>
      <x:c r="P105" s="72"/>
      <x:c r="Q105" s="72"/>
      <x:c r="R105" s="72"/>
      <x:c r="S105" s="73"/>
    </x:row>
    <x:row r="106">
      <x:c r="A106" s="81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/>
      <x:c r="P106" s="72"/>
      <x:c r="Q106" s="72"/>
      <x:c r="R106" s="72"/>
      <x:c r="S106" s="73"/>
    </x:row>
    <x:row r="107">
      <x:c r="A107" s="81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/>
      <x:c r="P107" s="72"/>
      <x:c r="Q107" s="72"/>
      <x:c r="R107" s="72"/>
      <x:c r="S107" s="73"/>
    </x:row>
    <x:row r="108">
      <x:c r="A108" s="81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/>
      <x:c r="P108" s="72"/>
      <x:c r="Q108" s="72"/>
      <x:c r="R108" s="72"/>
      <x:c r="S108" s="73"/>
    </x:row>
    <x:row r="109">
      <x:c r="A109" s="81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/>
      <x:c r="P109" s="72"/>
      <x:c r="Q109" s="72"/>
      <x:c r="R109" s="72"/>
      <x:c r="S109" s="73"/>
    </x:row>
    <x:row r="110">
      <x:c r="A110" s="81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/>
      <x:c r="P110" s="72"/>
      <x:c r="Q110" s="72"/>
      <x:c r="R110" s="72"/>
      <x:c r="S110" s="73"/>
    </x:row>
    <x:row r="111">
      <x:c r="A111" s="81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/>
      <x:c r="P111" s="72"/>
      <x:c r="Q111" s="72"/>
      <x:c r="R111" s="72"/>
      <x:c r="S111" s="73"/>
    </x:row>
    <x:row r="112">
      <x:c r="A112" s="81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/>
      <x:c r="P112" s="72"/>
      <x:c r="Q112" s="72"/>
      <x:c r="R112" s="72"/>
      <x:c r="S112" s="73"/>
    </x:row>
    <x:row r="113">
      <x:c r="A113" s="81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/>
      <x:c r="P113" s="72"/>
      <x:c r="Q113" s="72"/>
      <x:c r="R113" s="72"/>
      <x:c r="S113" s="73"/>
    </x:row>
    <x:row r="114">
      <x:c r="A114" s="81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/>
      <x:c r="P114" s="72"/>
      <x:c r="Q114" s="72"/>
      <x:c r="R114" s="72"/>
      <x:c r="S114" s="73"/>
    </x:row>
    <x:row r="115">
      <x:c r="A115" s="81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/>
      <x:c r="P115" s="72"/>
      <x:c r="Q115" s="72"/>
      <x:c r="R115" s="72"/>
      <x:c r="S115" s="73"/>
    </x:row>
    <x:row r="116">
      <x:c r="A116" s="81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/>
      <x:c r="P116" s="72"/>
      <x:c r="Q116" s="72"/>
      <x:c r="R116" s="72"/>
      <x:c r="S116" s="73"/>
    </x:row>
    <x:row r="117">
      <x:c r="A117" s="81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/>
      <x:c r="P117" s="72"/>
      <x:c r="Q117" s="72"/>
      <x:c r="R117" s="72"/>
      <x:c r="S117" s="73"/>
    </x:row>
    <x:row r="118">
      <x:c r="A118" s="81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/>
      <x:c r="P118" s="72"/>
      <x:c r="Q118" s="72"/>
      <x:c r="R118" s="72"/>
      <x:c r="S118" s="73"/>
    </x:row>
    <x:row r="119">
      <x:c r="A119" s="81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/>
      <x:c r="P119" s="72"/>
      <x:c r="Q119" s="72"/>
      <x:c r="R119" s="72"/>
      <x:c r="S119" s="73"/>
    </x:row>
    <x:row r="120">
      <x:c r="A120" s="81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/>
      <x:c r="P120" s="72"/>
      <x:c r="Q120" s="72"/>
      <x:c r="R120" s="72"/>
      <x:c r="S120" s="73"/>
    </x:row>
    <x:row r="121">
      <x:c r="A121" s="81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/>
      <x:c r="P121" s="72"/>
      <x:c r="Q121" s="72"/>
      <x:c r="R121" s="72"/>
      <x:c r="S121" s="73"/>
    </x:row>
    <x:row r="122">
      <x:c r="A122" s="81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/>
      <x:c r="P122" s="72"/>
      <x:c r="Q122" s="72"/>
      <x:c r="R122" s="72"/>
      <x:c r="S122" s="73"/>
    </x:row>
    <x:row r="123">
      <x:c r="A123" s="81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/>
      <x:c r="P123" s="72"/>
      <x:c r="Q123" s="72"/>
      <x:c r="R123" s="72"/>
      <x:c r="S123" s="73"/>
    </x:row>
    <x:row r="124">
      <x:c r="A124" s="81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/>
      <x:c r="P124" s="72"/>
      <x:c r="Q124" s="72"/>
      <x:c r="R124" s="72"/>
      <x:c r="S124" s="73"/>
    </x:row>
    <x:row r="125">
      <x:c r="A125" s="81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/>
      <x:c r="P125" s="72"/>
      <x:c r="Q125" s="72"/>
      <x:c r="R125" s="72"/>
      <x:c r="S125" s="73"/>
    </x:row>
    <x:row r="126">
      <x:c r="A126" s="81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/>
      <x:c r="P126" s="72"/>
      <x:c r="Q126" s="72"/>
      <x:c r="R126" s="72"/>
      <x:c r="S126" s="73"/>
    </x:row>
    <x:row r="127">
      <x:c r="A127" s="81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/>
      <x:c r="P127" s="72"/>
      <x:c r="Q127" s="72"/>
      <x:c r="R127" s="72"/>
      <x:c r="S127" s="73"/>
    </x:row>
    <x:row r="128">
      <x:c r="A128" s="81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/>
      <x:c r="P128" s="72"/>
      <x:c r="Q128" s="72"/>
      <x:c r="R128" s="72"/>
      <x:c r="S128" s="73"/>
    </x:row>
    <x:row r="129">
      <x:c r="A129" s="81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/>
      <x:c r="P129" s="72"/>
      <x:c r="Q129" s="72"/>
      <x:c r="R129" s="72"/>
      <x:c r="S129" s="73"/>
    </x:row>
    <x:row r="130">
      <x:c r="A130" s="81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/>
      <x:c r="P130" s="72"/>
      <x:c r="Q130" s="72"/>
      <x:c r="R130" s="72"/>
      <x:c r="S130" s="73"/>
    </x:row>
    <x:row r="131">
      <x:c r="A131" s="81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/>
      <x:c r="P131" s="72"/>
      <x:c r="Q131" s="72"/>
      <x:c r="R131" s="72"/>
      <x:c r="S131" s="73"/>
    </x:row>
    <x:row r="132">
      <x:c r="A132" s="81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/>
      <x:c r="P132" s="72"/>
      <x:c r="Q132" s="72"/>
      <x:c r="R132" s="72"/>
      <x:c r="S132" s="73"/>
    </x:row>
    <x:row r="133">
      <x:c r="A133" s="81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/>
      <x:c r="P133" s="72"/>
      <x:c r="Q133" s="72"/>
      <x:c r="R133" s="72"/>
      <x:c r="S133" s="73"/>
    </x:row>
    <x:row r="134">
      <x:c r="A134" s="81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/>
      <x:c r="P134" s="72"/>
      <x:c r="Q134" s="72"/>
      <x:c r="R134" s="72"/>
      <x:c r="S134" s="73"/>
    </x:row>
    <x:row r="135">
      <x:c r="A135" s="81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/>
      <x:c r="P135" s="72"/>
      <x:c r="Q135" s="72"/>
      <x:c r="R135" s="72"/>
      <x:c r="S135" s="73"/>
    </x:row>
    <x:row r="136">
      <x:c r="A136" s="81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/>
      <x:c r="P136" s="72"/>
      <x:c r="Q136" s="72"/>
      <x:c r="R136" s="72"/>
      <x:c r="S136" s="73"/>
    </x:row>
    <x:row r="137">
      <x:c r="A137" s="81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/>
      <x:c r="P137" s="72"/>
      <x:c r="Q137" s="72"/>
      <x:c r="R137" s="72"/>
      <x:c r="S137" s="73"/>
    </x:row>
    <x:row r="138">
      <x:c r="A138" s="81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/>
      <x:c r="P138" s="72"/>
      <x:c r="Q138" s="72"/>
      <x:c r="R138" s="72"/>
      <x:c r="S138" s="73"/>
    </x:row>
    <x:row r="139">
      <x:c r="A139" s="81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/>
      <x:c r="P139" s="72"/>
      <x:c r="Q139" s="72"/>
      <x:c r="R139" s="72"/>
      <x:c r="S139" s="73"/>
    </x:row>
    <x:row r="140">
      <x:c r="A140" s="81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/>
      <x:c r="P140" s="72"/>
      <x:c r="Q140" s="72"/>
      <x:c r="R140" s="72"/>
      <x:c r="S140" s="73"/>
    </x:row>
    <x:row r="141">
      <x:c r="A141" s="81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/>
      <x:c r="P141" s="72"/>
      <x:c r="Q141" s="72"/>
      <x:c r="R141" s="72"/>
      <x:c r="S141" s="73"/>
    </x:row>
    <x:row r="142">
      <x:c r="A142" s="81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/>
      <x:c r="P142" s="72"/>
      <x:c r="Q142" s="72"/>
      <x:c r="R142" s="72"/>
      <x:c r="S142" s="73"/>
    </x:row>
    <x:row r="143">
      <x:c r="A143" s="81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/>
      <x:c r="P143" s="72"/>
      <x:c r="Q143" s="72"/>
      <x:c r="R143" s="72"/>
      <x:c r="S143" s="73"/>
    </x:row>
    <x:row r="144">
      <x:c r="A144" s="81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/>
      <x:c r="P144" s="72"/>
      <x:c r="Q144" s="72"/>
      <x:c r="R144" s="72"/>
      <x:c r="S144" s="73"/>
    </x:row>
    <x:row r="145">
      <x:c r="A145" s="81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/>
      <x:c r="P145" s="72"/>
      <x:c r="Q145" s="72"/>
      <x:c r="R145" s="72"/>
      <x:c r="S145" s="73"/>
    </x:row>
    <x:row r="146">
      <x:c r="A146" s="81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/>
      <x:c r="P146" s="72"/>
      <x:c r="Q146" s="72"/>
      <x:c r="R146" s="72"/>
      <x:c r="S146" s="73"/>
    </x:row>
    <x:row r="147">
      <x:c r="A147" s="81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/>
      <x:c r="P147" s="72"/>
      <x:c r="Q147" s="72"/>
      <x:c r="R147" s="72"/>
      <x:c r="S147" s="73"/>
    </x:row>
    <x:row r="148">
      <x:c r="A148" s="81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/>
      <x:c r="P148" s="72"/>
      <x:c r="Q148" s="72"/>
      <x:c r="R148" s="72"/>
      <x:c r="S148" s="73"/>
    </x:row>
    <x:row r="149">
      <x:c r="A149" s="81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/>
      <x:c r="P149" s="72"/>
      <x:c r="Q149" s="72"/>
      <x:c r="R149" s="72"/>
      <x:c r="S149" s="73"/>
    </x:row>
    <x:row r="150">
      <x:c r="A150" s="81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/>
      <x:c r="P150" s="72"/>
      <x:c r="Q150" s="72"/>
      <x:c r="R150" s="72"/>
      <x:c r="S150" s="73"/>
    </x:row>
    <x:row r="151">
      <x:c r="A151" s="81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/>
      <x:c r="P151" s="72"/>
      <x:c r="Q151" s="72"/>
      <x:c r="R151" s="72"/>
      <x:c r="S151" s="73"/>
    </x:row>
    <x:row r="152">
      <x:c r="A152" s="81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/>
      <x:c r="P152" s="72"/>
      <x:c r="Q152" s="72"/>
      <x:c r="R152" s="72"/>
      <x:c r="S152" s="73"/>
    </x:row>
    <x:row r="153">
      <x:c r="A153" s="81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/>
      <x:c r="P153" s="72"/>
      <x:c r="Q153" s="72"/>
      <x:c r="R153" s="72"/>
      <x:c r="S153" s="73"/>
    </x:row>
    <x:row r="154">
      <x:c r="A154" s="81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/>
      <x:c r="P154" s="72"/>
      <x:c r="Q154" s="72"/>
      <x:c r="R154" s="72"/>
      <x:c r="S154" s="73"/>
    </x:row>
    <x:row r="155">
      <x:c r="A155" s="81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/>
      <x:c r="P155" s="72"/>
      <x:c r="Q155" s="72"/>
      <x:c r="R155" s="72"/>
      <x:c r="S155" s="73"/>
    </x:row>
    <x:row r="156">
      <x:c r="A156" s="81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/>
      <x:c r="P156" s="72"/>
      <x:c r="Q156" s="72"/>
      <x:c r="R156" s="72"/>
      <x:c r="S156" s="73"/>
    </x:row>
    <x:row r="157">
      <x:c r="A157" s="81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/>
      <x:c r="P157" s="72"/>
      <x:c r="Q157" s="72"/>
      <x:c r="R157" s="72"/>
      <x:c r="S157" s="73"/>
    </x:row>
    <x:row r="158">
      <x:c r="A158" s="81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/>
      <x:c r="P158" s="72"/>
      <x:c r="Q158" s="72"/>
      <x:c r="R158" s="72"/>
      <x:c r="S158" s="73"/>
    </x:row>
    <x:row r="159">
      <x:c r="A159" s="81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/>
      <x:c r="P159" s="72"/>
      <x:c r="Q159" s="72"/>
      <x:c r="R159" s="72"/>
      <x:c r="S159" s="73"/>
    </x:row>
    <x:row r="160">
      <x:c r="A160" s="81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/>
      <x:c r="P160" s="72"/>
      <x:c r="Q160" s="72"/>
      <x:c r="R160" s="72"/>
      <x:c r="S160" s="73"/>
    </x:row>
    <x:row r="161">
      <x:c r="A161" s="81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/>
      <x:c r="P161" s="72"/>
      <x:c r="Q161" s="72"/>
      <x:c r="R161" s="72"/>
      <x:c r="S161" s="73"/>
    </x:row>
    <x:row r="162">
      <x:c r="A162" s="81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/>
      <x:c r="P162" s="72"/>
      <x:c r="Q162" s="72"/>
      <x:c r="R162" s="72"/>
      <x:c r="S162" s="73"/>
    </x:row>
    <x:row r="163">
      <x:c r="A163" s="81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/>
      <x:c r="P163" s="72"/>
      <x:c r="Q163" s="72"/>
      <x:c r="R163" s="72"/>
      <x:c r="S163" s="73"/>
    </x:row>
    <x:row r="164">
      <x:c r="A164" s="81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/>
      <x:c r="P164" s="72"/>
      <x:c r="Q164" s="72"/>
      <x:c r="R164" s="72"/>
      <x:c r="S164" s="73"/>
    </x:row>
    <x:row r="165">
      <x:c r="A165" s="81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/>
      <x:c r="P165" s="72"/>
      <x:c r="Q165" s="72"/>
      <x:c r="R165" s="72"/>
      <x:c r="S165" s="73"/>
    </x:row>
    <x:row r="166">
      <x:c r="A166" s="81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/>
      <x:c r="P166" s="72"/>
      <x:c r="Q166" s="72"/>
      <x:c r="R166" s="72"/>
      <x:c r="S166" s="73"/>
    </x:row>
    <x:row r="167">
      <x:c r="A167" s="81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/>
      <x:c r="P167" s="72"/>
      <x:c r="Q167" s="72"/>
      <x:c r="R167" s="72"/>
      <x:c r="S167" s="73"/>
    </x:row>
    <x:row r="168">
      <x:c r="A168" s="81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/>
      <x:c r="P168" s="72"/>
      <x:c r="Q168" s="72"/>
      <x:c r="R168" s="72"/>
      <x:c r="S168" s="73"/>
    </x:row>
    <x:row r="169">
      <x:c r="A169" s="81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/>
      <x:c r="P169" s="72"/>
      <x:c r="Q169" s="72"/>
      <x:c r="R169" s="72"/>
      <x:c r="S169" s="73"/>
    </x:row>
    <x:row r="170">
      <x:c r="A170" s="81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/>
      <x:c r="P170" s="72"/>
      <x:c r="Q170" s="72"/>
      <x:c r="R170" s="72"/>
      <x:c r="S170" s="73"/>
    </x:row>
    <x:row r="171">
      <x:c r="A171" s="81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/>
      <x:c r="P171" s="72"/>
      <x:c r="Q171" s="72"/>
      <x:c r="R171" s="72"/>
      <x:c r="S171" s="73"/>
    </x:row>
    <x:row r="172">
      <x:c r="A172" s="81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/>
      <x:c r="P172" s="72"/>
      <x:c r="Q172" s="72"/>
      <x:c r="R172" s="72"/>
      <x:c r="S172" s="73"/>
    </x:row>
    <x:row r="173">
      <x:c r="A173" s="81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/>
      <x:c r="P173" s="72"/>
      <x:c r="Q173" s="72"/>
      <x:c r="R173" s="72"/>
      <x:c r="S173" s="73"/>
    </x:row>
    <x:row r="174">
      <x:c r="A174" s="81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/>
      <x:c r="P174" s="72"/>
      <x:c r="Q174" s="72"/>
      <x:c r="R174" s="72"/>
      <x:c r="S174" s="73"/>
    </x:row>
    <x:row r="175">
      <x:c r="A175" s="81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/>
      <x:c r="P175" s="72"/>
      <x:c r="Q175" s="72"/>
      <x:c r="R175" s="72"/>
      <x:c r="S175" s="73"/>
    </x:row>
    <x:row r="176">
      <x:c r="A176" s="81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/>
      <x:c r="P176" s="72"/>
      <x:c r="Q176" s="72"/>
      <x:c r="R176" s="72"/>
      <x:c r="S176" s="73"/>
    </x:row>
    <x:row r="177">
      <x:c r="A177" s="81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/>
      <x:c r="P177" s="72"/>
      <x:c r="Q177" s="72"/>
      <x:c r="R177" s="72"/>
      <x:c r="S177" s="73"/>
    </x:row>
    <x:row r="178">
      <x:c r="A178" s="81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/>
      <x:c r="P178" s="72"/>
      <x:c r="Q178" s="72"/>
      <x:c r="R178" s="72"/>
      <x:c r="S178" s="73"/>
    </x:row>
    <x:row r="179">
      <x:c r="A179" s="81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/>
      <x:c r="P179" s="72"/>
      <x:c r="Q179" s="72"/>
      <x:c r="R179" s="72"/>
      <x:c r="S179" s="73"/>
    </x:row>
    <x:row r="180">
      <x:c r="A180" s="81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/>
      <x:c r="P180" s="72"/>
      <x:c r="Q180" s="72"/>
      <x:c r="R180" s="72"/>
      <x:c r="S180" s="73"/>
    </x:row>
    <x:row r="181">
      <x:c r="A181" s="81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/>
      <x:c r="P181" s="72"/>
      <x:c r="Q181" s="72"/>
      <x:c r="R181" s="72"/>
      <x:c r="S181" s="73"/>
    </x:row>
    <x:row r="182">
      <x:c r="A182" s="81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/>
      <x:c r="P182" s="72"/>
      <x:c r="Q182" s="72"/>
      <x:c r="R182" s="72"/>
      <x:c r="S182" s="73"/>
    </x:row>
    <x:row r="183">
      <x:c r="A183" s="81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/>
      <x:c r="P183" s="72"/>
      <x:c r="Q183" s="72"/>
      <x:c r="R183" s="72"/>
      <x:c r="S183" s="73"/>
    </x:row>
    <x:row r="184">
      <x:c r="A184" s="81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/>
      <x:c r="P184" s="72"/>
      <x:c r="Q184" s="72"/>
      <x:c r="R184" s="72"/>
      <x:c r="S184" s="73"/>
    </x:row>
    <x:row r="185">
      <x:c r="A185" s="81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/>
      <x:c r="P185" s="72"/>
      <x:c r="Q185" s="72"/>
      <x:c r="R185" s="72"/>
      <x:c r="S185" s="73"/>
    </x:row>
    <x:row r="186">
      <x:c r="A186" s="81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/>
      <x:c r="P186" s="72"/>
      <x:c r="Q186" s="72"/>
      <x:c r="R186" s="72"/>
      <x:c r="S186" s="73"/>
    </x:row>
    <x:row r="187">
      <x:c r="A187" s="81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/>
      <x:c r="P187" s="72"/>
      <x:c r="Q187" s="72"/>
      <x:c r="R187" s="72"/>
      <x:c r="S187" s="73"/>
    </x:row>
    <x:row r="188">
      <x:c r="A188" s="81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/>
      <x:c r="P188" s="72"/>
      <x:c r="Q188" s="72"/>
      <x:c r="R188" s="72"/>
      <x:c r="S188" s="73"/>
    </x:row>
    <x:row r="189">
      <x:c r="A189" s="81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/>
      <x:c r="P189" s="72"/>
      <x:c r="Q189" s="72"/>
      <x:c r="R189" s="72"/>
      <x:c r="S189" s="73"/>
    </x:row>
    <x:row r="190">
      <x:c r="A190" s="81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/>
      <x:c r="P190" s="72"/>
      <x:c r="Q190" s="72"/>
      <x:c r="R190" s="72"/>
      <x:c r="S190" s="73"/>
    </x:row>
    <x:row r="191">
      <x:c r="A191" s="81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/>
      <x:c r="P191" s="72"/>
      <x:c r="Q191" s="72"/>
      <x:c r="R191" s="72"/>
      <x:c r="S191" s="73"/>
    </x:row>
    <x:row r="192">
      <x:c r="A192" s="81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/>
      <x:c r="P192" s="72"/>
      <x:c r="Q192" s="72"/>
      <x:c r="R192" s="72"/>
      <x:c r="S192" s="73"/>
    </x:row>
    <x:row r="193">
      <x:c r="A193" s="81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/>
      <x:c r="P193" s="72"/>
      <x:c r="Q193" s="72"/>
      <x:c r="R193" s="72"/>
      <x:c r="S193" s="73"/>
    </x:row>
    <x:row r="194">
      <x:c r="A194" s="81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/>
      <x:c r="P194" s="72"/>
      <x:c r="Q194" s="72"/>
      <x:c r="R194" s="72"/>
      <x:c r="S194" s="73"/>
    </x:row>
    <x:row r="195">
      <x:c r="A195" s="81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/>
      <x:c r="P195" s="72"/>
      <x:c r="Q195" s="72"/>
      <x:c r="R195" s="72"/>
      <x:c r="S195" s="73"/>
    </x:row>
    <x:row r="196">
      <x:c r="A196" s="81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/>
      <x:c r="P196" s="72"/>
      <x:c r="Q196" s="72"/>
      <x:c r="R196" s="72"/>
      <x:c r="S196" s="73"/>
    </x:row>
    <x:row r="197">
      <x:c r="A197" s="81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/>
      <x:c r="P197" s="72"/>
      <x:c r="Q197" s="72"/>
      <x:c r="R197" s="72"/>
      <x:c r="S197" s="73"/>
    </x:row>
    <x:row r="198">
      <x:c r="A198" s="81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/>
      <x:c r="P198" s="72"/>
      <x:c r="Q198" s="72"/>
      <x:c r="R198" s="72"/>
      <x:c r="S198" s="73"/>
    </x:row>
    <x:row r="199">
      <x:c r="A199" s="81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/>
      <x:c r="P199" s="72"/>
      <x:c r="Q199" s="72"/>
      <x:c r="R199" s="72"/>
      <x:c r="S199" s="73"/>
    </x:row>
    <x:row r="200">
      <x:c r="A200" s="81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/>
      <x:c r="P200" s="72"/>
      <x:c r="Q200" s="72"/>
      <x:c r="R200" s="72"/>
      <x:c r="S200" s="73"/>
    </x:row>
    <x:row r="201">
      <x:c r="A201" s="81"/>
      <x:c r="B201" s="72"/>
      <x:c r="C201" s="72"/>
      <x:c r="D201" s="72"/>
      <x:c r="E201" s="72"/>
      <x:c r="F201" s="72"/>
      <x:c r="G201" s="72"/>
      <x:c r="H201" s="72"/>
      <x:c r="I201" s="72"/>
      <x:c r="J201" s="72"/>
      <x:c r="K201" s="72"/>
      <x:c r="L201" s="72"/>
      <x:c r="M201" s="72"/>
      <x:c r="N201" s="72"/>
      <x:c r="O201" s="72"/>
      <x:c r="P201" s="72"/>
      <x:c r="Q201" s="72"/>
      <x:c r="R201" s="72"/>
      <x:c r="S201" s="73"/>
    </x:row>
    <x:row r="202">
      <x:c r="A202" s="81"/>
      <x:c r="B202" s="72"/>
      <x:c r="C202" s="72"/>
      <x:c r="D202" s="72"/>
      <x:c r="E202" s="72"/>
      <x:c r="F202" s="72"/>
      <x:c r="G202" s="72"/>
      <x:c r="H202" s="72"/>
      <x:c r="I202" s="72"/>
      <x:c r="J202" s="72"/>
      <x:c r="K202" s="72"/>
      <x:c r="L202" s="72"/>
      <x:c r="M202" s="72"/>
      <x:c r="N202" s="72"/>
      <x:c r="O202" s="72"/>
      <x:c r="P202" s="72"/>
      <x:c r="Q202" s="72"/>
      <x:c r="R202" s="72"/>
      <x:c r="S202" s="73"/>
    </x:row>
    <x:row r="203">
      <x:c r="A203" s="81"/>
      <x:c r="B203" s="72"/>
      <x:c r="C203" s="72"/>
      <x:c r="D203" s="72"/>
      <x:c r="E203" s="72"/>
      <x:c r="F203" s="72"/>
      <x:c r="G203" s="72"/>
      <x:c r="H203" s="72"/>
      <x:c r="I203" s="72"/>
      <x:c r="J203" s="72"/>
      <x:c r="K203" s="72"/>
      <x:c r="L203" s="72"/>
      <x:c r="M203" s="72"/>
      <x:c r="N203" s="72"/>
      <x:c r="O203" s="72"/>
      <x:c r="P203" s="72"/>
      <x:c r="Q203" s="72"/>
      <x:c r="R203" s="72"/>
      <x:c r="S203" s="73"/>
    </x:row>
    <x:row r="204">
      <x:c r="A204" s="81"/>
      <x:c r="B204" s="72"/>
      <x:c r="C204" s="72"/>
      <x:c r="D204" s="72"/>
      <x:c r="E204" s="72"/>
      <x:c r="F204" s="72"/>
      <x:c r="G204" s="72"/>
      <x:c r="H204" s="72"/>
      <x:c r="I204" s="72"/>
      <x:c r="J204" s="72"/>
      <x:c r="K204" s="72"/>
      <x:c r="L204" s="72"/>
      <x:c r="M204" s="72"/>
      <x:c r="N204" s="72"/>
      <x:c r="O204" s="72"/>
      <x:c r="P204" s="72"/>
      <x:c r="Q204" s="72"/>
      <x:c r="R204" s="72"/>
      <x:c r="S204" s="73"/>
    </x:row>
    <x:row r="205">
      <x:c r="A205" s="81"/>
      <x:c r="B205" s="72"/>
      <x:c r="C205" s="72"/>
      <x:c r="D205" s="72"/>
      <x:c r="E205" s="72"/>
      <x:c r="F205" s="72"/>
      <x:c r="G205" s="72"/>
      <x:c r="H205" s="72"/>
      <x:c r="I205" s="72"/>
      <x:c r="J205" s="72"/>
      <x:c r="K205" s="72"/>
      <x:c r="L205" s="72"/>
      <x:c r="M205" s="72"/>
      <x:c r="N205" s="72"/>
      <x:c r="O205" s="72"/>
      <x:c r="P205" s="72"/>
      <x:c r="Q205" s="72"/>
      <x:c r="R205" s="72"/>
      <x:c r="S205" s="73"/>
    </x:row>
    <x:row r="206">
      <x:c r="A206" s="81"/>
      <x:c r="B206" s="72"/>
      <x:c r="C206" s="72"/>
      <x:c r="D206" s="72"/>
      <x:c r="E206" s="72"/>
      <x:c r="F206" s="72"/>
      <x:c r="G206" s="72"/>
      <x:c r="H206" s="72"/>
      <x:c r="I206" s="72"/>
      <x:c r="J206" s="72"/>
      <x:c r="K206" s="72"/>
      <x:c r="L206" s="72"/>
      <x:c r="M206" s="72"/>
      <x:c r="N206" s="72"/>
      <x:c r="O206" s="72"/>
      <x:c r="P206" s="72"/>
      <x:c r="Q206" s="72"/>
      <x:c r="R206" s="72"/>
      <x:c r="S206" s="73"/>
    </x:row>
    <x:row r="207">
      <x:c r="A207" s="81"/>
      <x:c r="B207" s="72"/>
      <x:c r="C207" s="72"/>
      <x:c r="D207" s="72"/>
      <x:c r="E207" s="72"/>
      <x:c r="F207" s="72"/>
      <x:c r="G207" s="72"/>
      <x:c r="H207" s="72"/>
      <x:c r="I207" s="72"/>
      <x:c r="J207" s="72"/>
      <x:c r="K207" s="72"/>
      <x:c r="L207" s="72"/>
      <x:c r="M207" s="72"/>
      <x:c r="N207" s="72"/>
      <x:c r="O207" s="72"/>
      <x:c r="P207" s="72"/>
      <x:c r="Q207" s="72"/>
      <x:c r="R207" s="72"/>
      <x:c r="S207" s="73"/>
    </x:row>
    <x:row r="208">
      <x:c r="A208" s="81"/>
      <x:c r="B208" s="72"/>
      <x:c r="C208" s="72"/>
      <x:c r="D208" s="72"/>
      <x:c r="E208" s="72"/>
      <x:c r="F208" s="72"/>
      <x:c r="G208" s="72"/>
      <x:c r="H208" s="72"/>
      <x:c r="I208" s="72"/>
      <x:c r="J208" s="72"/>
      <x:c r="K208" s="72"/>
      <x:c r="L208" s="72"/>
      <x:c r="M208" s="72"/>
      <x:c r="N208" s="72"/>
      <x:c r="O208" s="72"/>
      <x:c r="P208" s="72"/>
      <x:c r="Q208" s="72"/>
      <x:c r="R208" s="72"/>
      <x:c r="S208" s="73"/>
    </x:row>
    <x:row r="209">
      <x:c r="A209" s="81"/>
      <x:c r="B209" s="72"/>
      <x:c r="C209" s="72"/>
      <x:c r="D209" s="72"/>
      <x:c r="E209" s="72"/>
      <x:c r="F209" s="72"/>
      <x:c r="G209" s="72"/>
      <x:c r="H209" s="72"/>
      <x:c r="I209" s="72"/>
      <x:c r="J209" s="72"/>
      <x:c r="K209" s="72"/>
      <x:c r="L209" s="72"/>
      <x:c r="M209" s="72"/>
      <x:c r="N209" s="72"/>
      <x:c r="O209" s="72"/>
      <x:c r="P209" s="72"/>
      <x:c r="Q209" s="72"/>
      <x:c r="R209" s="72"/>
      <x:c r="S209" s="73"/>
    </x:row>
    <x:row r="210">
      <x:c r="A210" s="81"/>
      <x:c r="B210" s="72"/>
      <x:c r="C210" s="72"/>
      <x:c r="D210" s="72"/>
      <x:c r="E210" s="72"/>
      <x:c r="F210" s="72"/>
      <x:c r="G210" s="72"/>
      <x:c r="H210" s="72"/>
      <x:c r="I210" s="72"/>
      <x:c r="J210" s="72"/>
      <x:c r="K210" s="72"/>
      <x:c r="L210" s="72"/>
      <x:c r="M210" s="72"/>
      <x:c r="N210" s="72"/>
      <x:c r="O210" s="72"/>
      <x:c r="P210" s="72"/>
      <x:c r="Q210" s="72"/>
      <x:c r="R210" s="72"/>
      <x:c r="S210" s="73"/>
    </x:row>
    <x:row r="211">
      <x:c r="A211" s="81"/>
      <x:c r="B211" s="72"/>
      <x:c r="C211" s="72"/>
      <x:c r="D211" s="72"/>
      <x:c r="E211" s="72"/>
      <x:c r="F211" s="72"/>
      <x:c r="G211" s="72"/>
      <x:c r="H211" s="72"/>
      <x:c r="I211" s="72"/>
      <x:c r="J211" s="72"/>
      <x:c r="K211" s="72"/>
      <x:c r="L211" s="72"/>
      <x:c r="M211" s="72"/>
      <x:c r="N211" s="72"/>
      <x:c r="O211" s="72"/>
      <x:c r="P211" s="72"/>
      <x:c r="Q211" s="72"/>
      <x:c r="R211" s="72"/>
      <x:c r="S211" s="73"/>
    </x:row>
    <x:row r="212">
      <x:c r="A212" s="81"/>
      <x:c r="B212" s="72"/>
      <x:c r="C212" s="72"/>
      <x:c r="D212" s="72"/>
      <x:c r="E212" s="72"/>
      <x:c r="F212" s="72"/>
      <x:c r="G212" s="72"/>
      <x:c r="H212" s="72"/>
      <x:c r="I212" s="72"/>
      <x:c r="J212" s="72"/>
      <x:c r="K212" s="72"/>
      <x:c r="L212" s="72"/>
      <x:c r="M212" s="72"/>
      <x:c r="N212" s="72"/>
      <x:c r="O212" s="72"/>
      <x:c r="P212" s="72"/>
      <x:c r="Q212" s="72"/>
      <x:c r="R212" s="72"/>
      <x:c r="S212" s="73"/>
    </x:row>
    <x:row r="213">
      <x:c r="A213" s="81"/>
      <x:c r="B213" s="72"/>
      <x:c r="C213" s="72"/>
      <x:c r="D213" s="72"/>
      <x:c r="E213" s="72"/>
      <x:c r="F213" s="72"/>
      <x:c r="G213" s="72"/>
      <x:c r="H213" s="72"/>
      <x:c r="I213" s="72"/>
      <x:c r="J213" s="72"/>
      <x:c r="K213" s="72"/>
      <x:c r="L213" s="72"/>
      <x:c r="M213" s="72"/>
      <x:c r="N213" s="72"/>
      <x:c r="O213" s="72"/>
      <x:c r="P213" s="72"/>
      <x:c r="Q213" s="72"/>
      <x:c r="R213" s="72"/>
      <x:c r="S213" s="73"/>
    </x:row>
    <x:row r="214">
      <x:c r="A214" s="81"/>
      <x:c r="B214" s="72"/>
      <x:c r="C214" s="72"/>
      <x:c r="D214" s="72"/>
      <x:c r="E214" s="72"/>
      <x:c r="F214" s="72"/>
      <x:c r="G214" s="72"/>
      <x:c r="H214" s="72"/>
      <x:c r="I214" s="72"/>
      <x:c r="J214" s="72"/>
      <x:c r="K214" s="72"/>
      <x:c r="L214" s="72"/>
      <x:c r="M214" s="72"/>
      <x:c r="N214" s="72"/>
      <x:c r="O214" s="72"/>
      <x:c r="P214" s="72"/>
      <x:c r="Q214" s="72"/>
      <x:c r="R214" s="72"/>
      <x:c r="S214" s="73"/>
    </x:row>
    <x:row r="215">
      <x:c r="A215" s="81"/>
      <x:c r="B215" s="72"/>
      <x:c r="C215" s="72"/>
      <x:c r="D215" s="72"/>
      <x:c r="E215" s="72"/>
      <x:c r="F215" s="72"/>
      <x:c r="G215" s="72"/>
      <x:c r="H215" s="72"/>
      <x:c r="I215" s="72"/>
      <x:c r="J215" s="72"/>
      <x:c r="K215" s="72"/>
      <x:c r="L215" s="72"/>
      <x:c r="M215" s="72"/>
      <x:c r="N215" s="72"/>
      <x:c r="O215" s="72"/>
      <x:c r="P215" s="72"/>
      <x:c r="Q215" s="72"/>
      <x:c r="R215" s="72"/>
      <x:c r="S215" s="73"/>
    </x:row>
    <x:row r="216">
      <x:c r="A216" s="81"/>
      <x:c r="B216" s="72"/>
      <x:c r="C216" s="72"/>
      <x:c r="D216" s="72"/>
      <x:c r="E216" s="72"/>
      <x:c r="F216" s="72"/>
      <x:c r="G216" s="72"/>
      <x:c r="H216" s="72"/>
      <x:c r="I216" s="72"/>
      <x:c r="J216" s="72"/>
      <x:c r="K216" s="72"/>
      <x:c r="L216" s="72"/>
      <x:c r="M216" s="72"/>
      <x:c r="N216" s="72"/>
      <x:c r="O216" s="72"/>
      <x:c r="P216" s="72"/>
      <x:c r="Q216" s="72"/>
      <x:c r="R216" s="72"/>
      <x:c r="S216" s="73"/>
    </x:row>
    <x:row r="217">
      <x:c r="A217" s="81"/>
      <x:c r="B217" s="72"/>
      <x:c r="C217" s="72"/>
      <x:c r="D217" s="72"/>
      <x:c r="E217" s="72"/>
      <x:c r="F217" s="72"/>
      <x:c r="G217" s="72"/>
      <x:c r="H217" s="72"/>
      <x:c r="I217" s="72"/>
      <x:c r="J217" s="72"/>
      <x:c r="K217" s="72"/>
      <x:c r="L217" s="72"/>
      <x:c r="M217" s="72"/>
      <x:c r="N217" s="72"/>
      <x:c r="O217" s="72"/>
      <x:c r="P217" s="72"/>
      <x:c r="Q217" s="72"/>
      <x:c r="R217" s="72"/>
      <x:c r="S217" s="73"/>
    </x:row>
    <x:row r="218">
      <x:c r="A218" s="81"/>
      <x:c r="B218" s="72"/>
      <x:c r="C218" s="72"/>
      <x:c r="D218" s="72"/>
      <x:c r="E218" s="72"/>
      <x:c r="F218" s="72"/>
      <x:c r="G218" s="72"/>
      <x:c r="H218" s="72"/>
      <x:c r="I218" s="72"/>
      <x:c r="J218" s="72"/>
      <x:c r="K218" s="72"/>
      <x:c r="L218" s="72"/>
      <x:c r="M218" s="72"/>
      <x:c r="N218" s="72"/>
      <x:c r="O218" s="72"/>
      <x:c r="P218" s="72"/>
      <x:c r="Q218" s="72"/>
      <x:c r="R218" s="72"/>
      <x:c r="S218" s="73"/>
    </x:row>
    <x:row r="219">
      <x:c r="A219" s="81"/>
      <x:c r="B219" s="72"/>
      <x:c r="C219" s="72"/>
      <x:c r="D219" s="72"/>
      <x:c r="E219" s="72"/>
      <x:c r="F219" s="72"/>
      <x:c r="G219" s="72"/>
      <x:c r="H219" s="72"/>
      <x:c r="I219" s="72"/>
      <x:c r="J219" s="72"/>
      <x:c r="K219" s="72"/>
      <x:c r="L219" s="72"/>
      <x:c r="M219" s="72"/>
      <x:c r="N219" s="72"/>
      <x:c r="O219" s="72"/>
      <x:c r="P219" s="72"/>
      <x:c r="Q219" s="72"/>
      <x:c r="R219" s="72"/>
      <x:c r="S219" s="73"/>
    </x:row>
    <x:row r="220">
      <x:c r="A220" s="81"/>
      <x:c r="B220" s="72"/>
      <x:c r="C220" s="72"/>
      <x:c r="D220" s="72"/>
      <x:c r="E220" s="72"/>
      <x:c r="F220" s="72"/>
      <x:c r="G220" s="72"/>
      <x:c r="H220" s="72"/>
      <x:c r="I220" s="72"/>
      <x:c r="J220" s="72"/>
      <x:c r="K220" s="72"/>
      <x:c r="L220" s="72"/>
      <x:c r="M220" s="72"/>
      <x:c r="N220" s="72"/>
      <x:c r="O220" s="72"/>
      <x:c r="P220" s="72"/>
      <x:c r="Q220" s="72"/>
      <x:c r="R220" s="72"/>
      <x:c r="S220" s="73"/>
    </x:row>
    <x:row r="221">
      <x:c r="A221" s="81"/>
      <x:c r="B221" s="72"/>
      <x:c r="C221" s="72"/>
      <x:c r="D221" s="72"/>
      <x:c r="E221" s="72"/>
      <x:c r="F221" s="72"/>
      <x:c r="G221" s="72"/>
      <x:c r="H221" s="72"/>
      <x:c r="I221" s="72"/>
      <x:c r="J221" s="72"/>
      <x:c r="K221" s="72"/>
      <x:c r="L221" s="72"/>
      <x:c r="M221" s="72"/>
      <x:c r="N221" s="72"/>
      <x:c r="O221" s="72"/>
      <x:c r="P221" s="72"/>
      <x:c r="Q221" s="72"/>
      <x:c r="R221" s="72"/>
      <x:c r="S221" s="73"/>
    </x:row>
    <x:row r="222">
      <x:c r="A222" s="81"/>
      <x:c r="B222" s="72"/>
      <x:c r="C222" s="72"/>
      <x:c r="D222" s="72"/>
      <x:c r="E222" s="72"/>
      <x:c r="F222" s="72"/>
      <x:c r="G222" s="72"/>
      <x:c r="H222" s="72"/>
      <x:c r="I222" s="72"/>
      <x:c r="J222" s="72"/>
      <x:c r="K222" s="72"/>
      <x:c r="L222" s="72"/>
      <x:c r="M222" s="72"/>
      <x:c r="N222" s="72"/>
      <x:c r="O222" s="72"/>
      <x:c r="P222" s="72"/>
      <x:c r="Q222" s="72"/>
      <x:c r="R222" s="72"/>
      <x:c r="S222" s="73"/>
    </x:row>
    <x:row r="223">
      <x:c r="A223" s="81"/>
      <x:c r="B223" s="72"/>
      <x:c r="C223" s="72"/>
      <x:c r="D223" s="72"/>
      <x:c r="E223" s="72"/>
      <x:c r="F223" s="72"/>
      <x:c r="G223" s="72"/>
      <x:c r="H223" s="72"/>
      <x:c r="I223" s="72"/>
      <x:c r="J223" s="72"/>
      <x:c r="K223" s="72"/>
      <x:c r="L223" s="72"/>
      <x:c r="M223" s="72"/>
      <x:c r="N223" s="72"/>
      <x:c r="O223" s="72"/>
      <x:c r="P223" s="72"/>
      <x:c r="Q223" s="72"/>
      <x:c r="R223" s="72"/>
      <x:c r="S223" s="73"/>
    </x:row>
    <x:row r="224">
      <x:c r="A224" s="81"/>
      <x:c r="B224" s="72"/>
      <x:c r="C224" s="72"/>
      <x:c r="D224" s="72"/>
      <x:c r="E224" s="72"/>
      <x:c r="F224" s="72"/>
      <x:c r="G224" s="72"/>
      <x:c r="H224" s="72"/>
      <x:c r="I224" s="72"/>
      <x:c r="J224" s="72"/>
      <x:c r="K224" s="72"/>
      <x:c r="L224" s="72"/>
      <x:c r="M224" s="72"/>
      <x:c r="N224" s="72"/>
      <x:c r="O224" s="72"/>
      <x:c r="P224" s="72"/>
      <x:c r="Q224" s="72"/>
      <x:c r="R224" s="72"/>
      <x:c r="S224" s="73"/>
    </x:row>
    <x:row r="225">
      <x:c r="A225" s="81"/>
      <x:c r="B225" s="72"/>
      <x:c r="C225" s="72"/>
      <x:c r="D225" s="72"/>
      <x:c r="E225" s="72"/>
      <x:c r="F225" s="72"/>
      <x:c r="G225" s="72"/>
      <x:c r="H225" s="72"/>
      <x:c r="I225" s="72"/>
      <x:c r="J225" s="72"/>
      <x:c r="K225" s="72"/>
      <x:c r="L225" s="72"/>
      <x:c r="M225" s="72"/>
      <x:c r="N225" s="72"/>
      <x:c r="O225" s="72"/>
      <x:c r="P225" s="72"/>
      <x:c r="Q225" s="72"/>
      <x:c r="R225" s="72"/>
      <x:c r="S225" s="73"/>
    </x:row>
    <x:row r="226">
      <x:c r="A226" s="81"/>
      <x:c r="B226" s="72"/>
      <x:c r="C226" s="72"/>
      <x:c r="D226" s="72"/>
      <x:c r="E226" s="72"/>
      <x:c r="F226" s="72"/>
      <x:c r="G226" s="72"/>
      <x:c r="H226" s="72"/>
      <x:c r="I226" s="72"/>
      <x:c r="J226" s="72"/>
      <x:c r="K226" s="72"/>
      <x:c r="L226" s="72"/>
      <x:c r="M226" s="72"/>
      <x:c r="N226" s="72"/>
      <x:c r="O226" s="72"/>
      <x:c r="P226" s="72"/>
      <x:c r="Q226" s="72"/>
      <x:c r="R226" s="72"/>
      <x:c r="S226" s="73"/>
    </x:row>
    <x:row r="227">
      <x:c r="A227" s="81"/>
      <x:c r="B227" s="72"/>
      <x:c r="C227" s="72"/>
      <x:c r="D227" s="72"/>
      <x:c r="E227" s="72"/>
      <x:c r="F227" s="72"/>
      <x:c r="G227" s="72"/>
      <x:c r="H227" s="72"/>
      <x:c r="I227" s="72"/>
      <x:c r="J227" s="72"/>
      <x:c r="K227" s="72"/>
      <x:c r="L227" s="72"/>
      <x:c r="M227" s="72"/>
      <x:c r="N227" s="72"/>
      <x:c r="O227" s="72"/>
      <x:c r="P227" s="72"/>
      <x:c r="Q227" s="72"/>
      <x:c r="R227" s="72"/>
      <x:c r="S227" s="73"/>
    </x:row>
    <x:row r="228">
      <x:c r="A228" s="81"/>
      <x:c r="B228" s="72"/>
      <x:c r="C228" s="72"/>
      <x:c r="D228" s="72"/>
      <x:c r="E228" s="72"/>
      <x:c r="F228" s="72"/>
      <x:c r="G228" s="72"/>
      <x:c r="H228" s="72"/>
      <x:c r="I228" s="72"/>
      <x:c r="J228" s="72"/>
      <x:c r="K228" s="72"/>
      <x:c r="L228" s="72"/>
      <x:c r="M228" s="72"/>
      <x:c r="N228" s="72"/>
      <x:c r="O228" s="72"/>
      <x:c r="P228" s="72"/>
      <x:c r="Q228" s="72"/>
      <x:c r="R228" s="72"/>
      <x:c r="S228" s="73"/>
    </x:row>
    <x:row r="229">
      <x:c r="A229" s="81"/>
      <x:c r="B229" s="72"/>
      <x:c r="C229" s="72"/>
      <x:c r="D229" s="72"/>
      <x:c r="E229" s="72"/>
      <x:c r="F229" s="72"/>
      <x:c r="G229" s="72"/>
      <x:c r="H229" s="72"/>
      <x:c r="I229" s="72"/>
      <x:c r="J229" s="72"/>
      <x:c r="K229" s="72"/>
      <x:c r="L229" s="72"/>
      <x:c r="M229" s="72"/>
      <x:c r="N229" s="72"/>
      <x:c r="O229" s="72"/>
      <x:c r="P229" s="72"/>
      <x:c r="Q229" s="72"/>
      <x:c r="R229" s="72"/>
      <x:c r="S229" s="73"/>
    </x:row>
    <x:row r="230">
      <x:c r="A230" s="81"/>
      <x:c r="B230" s="72"/>
      <x:c r="C230" s="72"/>
      <x:c r="D230" s="72"/>
      <x:c r="E230" s="72"/>
      <x:c r="F230" s="72"/>
      <x:c r="G230" s="72"/>
      <x:c r="H230" s="72"/>
      <x:c r="I230" s="72"/>
      <x:c r="J230" s="72"/>
      <x:c r="K230" s="72"/>
      <x:c r="L230" s="72"/>
      <x:c r="M230" s="72"/>
      <x:c r="N230" s="72"/>
      <x:c r="O230" s="72"/>
      <x:c r="P230" s="72"/>
      <x:c r="Q230" s="72"/>
      <x:c r="R230" s="72"/>
      <x:c r="S230" s="73"/>
    </x:row>
    <x:row r="231">
      <x:c r="A231" s="81"/>
      <x:c r="B231" s="72"/>
      <x:c r="C231" s="72"/>
      <x:c r="D231" s="72"/>
      <x:c r="E231" s="72"/>
      <x:c r="F231" s="72"/>
      <x:c r="G231" s="72"/>
      <x:c r="H231" s="72"/>
      <x:c r="I231" s="72"/>
      <x:c r="J231" s="72"/>
      <x:c r="K231" s="72"/>
      <x:c r="L231" s="72"/>
      <x:c r="M231" s="72"/>
      <x:c r="N231" s="72"/>
      <x:c r="O231" s="72"/>
      <x:c r="P231" s="72"/>
      <x:c r="Q231" s="72"/>
      <x:c r="R231" s="72"/>
      <x:c r="S231" s="73"/>
    </x:row>
    <x:row r="232">
      <x:c r="A232" s="81"/>
      <x:c r="B232" s="72"/>
      <x:c r="C232" s="72"/>
      <x:c r="D232" s="72"/>
      <x:c r="E232" s="72"/>
      <x:c r="F232" s="72"/>
      <x:c r="G232" s="72"/>
      <x:c r="H232" s="72"/>
      <x:c r="I232" s="72"/>
      <x:c r="J232" s="72"/>
      <x:c r="K232" s="72"/>
      <x:c r="L232" s="72"/>
      <x:c r="M232" s="72"/>
      <x:c r="N232" s="72"/>
      <x:c r="O232" s="72"/>
      <x:c r="P232" s="72"/>
      <x:c r="Q232" s="72"/>
      <x:c r="R232" s="72"/>
      <x:c r="S232" s="73"/>
    </x:row>
    <x:row r="233">
      <x:c r="A233" s="81"/>
      <x:c r="B233" s="72"/>
      <x:c r="C233" s="72"/>
      <x:c r="D233" s="72"/>
      <x:c r="E233" s="72"/>
      <x:c r="F233" s="72"/>
      <x:c r="G233" s="72"/>
      <x:c r="H233" s="72"/>
      <x:c r="I233" s="72"/>
      <x:c r="J233" s="72"/>
      <x:c r="K233" s="72"/>
      <x:c r="L233" s="72"/>
      <x:c r="M233" s="72"/>
      <x:c r="N233" s="72"/>
      <x:c r="O233" s="72"/>
      <x:c r="P233" s="72"/>
      <x:c r="Q233" s="72"/>
      <x:c r="R233" s="72"/>
      <x:c r="S233" s="73"/>
    </x:row>
    <x:row r="234">
      <x:c r="A234" s="81"/>
      <x:c r="B234" s="72"/>
      <x:c r="C234" s="72"/>
      <x:c r="D234" s="72"/>
      <x:c r="E234" s="72"/>
      <x:c r="F234" s="72"/>
      <x:c r="G234" s="72"/>
      <x:c r="H234" s="72"/>
      <x:c r="I234" s="72"/>
      <x:c r="J234" s="72"/>
      <x:c r="K234" s="72"/>
      <x:c r="L234" s="72"/>
      <x:c r="M234" s="72"/>
      <x:c r="N234" s="72"/>
      <x:c r="O234" s="72"/>
      <x:c r="P234" s="72"/>
      <x:c r="Q234" s="72"/>
      <x:c r="R234" s="72"/>
      <x:c r="S234" s="73"/>
    </x:row>
    <x:row r="235">
      <x:c r="A235" s="81"/>
      <x:c r="B235" s="72"/>
      <x:c r="C235" s="72"/>
      <x:c r="D235" s="72"/>
      <x:c r="E235" s="72"/>
      <x:c r="F235" s="72"/>
      <x:c r="G235" s="72"/>
      <x:c r="H235" s="72"/>
      <x:c r="I235" s="72"/>
      <x:c r="J235" s="72"/>
      <x:c r="K235" s="72"/>
      <x:c r="L235" s="72"/>
      <x:c r="M235" s="72"/>
      <x:c r="N235" s="72"/>
      <x:c r="O235" s="72"/>
      <x:c r="P235" s="72"/>
      <x:c r="Q235" s="72"/>
      <x:c r="R235" s="72"/>
      <x:c r="S235" s="73"/>
    </x:row>
    <x:row r="236">
      <x:c r="A236" s="81"/>
      <x:c r="B236" s="72"/>
      <x:c r="C236" s="72"/>
      <x:c r="D236" s="72"/>
      <x:c r="E236" s="72"/>
      <x:c r="F236" s="72"/>
      <x:c r="G236" s="72"/>
      <x:c r="H236" s="72"/>
      <x:c r="I236" s="72"/>
      <x:c r="J236" s="72"/>
      <x:c r="K236" s="72"/>
      <x:c r="L236" s="72"/>
      <x:c r="M236" s="72"/>
      <x:c r="N236" s="72"/>
      <x:c r="O236" s="72"/>
      <x:c r="P236" s="72"/>
      <x:c r="Q236" s="72"/>
      <x:c r="R236" s="72"/>
      <x:c r="S236" s="73"/>
    </x:row>
    <x:row r="237">
      <x:c r="A237" s="81"/>
      <x:c r="B237" s="72"/>
      <x:c r="C237" s="72"/>
      <x:c r="D237" s="72"/>
      <x:c r="E237" s="72"/>
      <x:c r="F237" s="72"/>
      <x:c r="G237" s="72"/>
      <x:c r="H237" s="72"/>
      <x:c r="I237" s="72"/>
      <x:c r="J237" s="72"/>
      <x:c r="K237" s="72"/>
      <x:c r="L237" s="72"/>
      <x:c r="M237" s="72"/>
      <x:c r="N237" s="72"/>
      <x:c r="O237" s="72"/>
      <x:c r="P237" s="72"/>
      <x:c r="Q237" s="72"/>
      <x:c r="R237" s="72"/>
      <x:c r="S237" s="73"/>
    </x:row>
    <x:row r="238">
      <x:c r="A238" s="81"/>
      <x:c r="B238" s="72"/>
      <x:c r="C238" s="72"/>
      <x:c r="D238" s="72"/>
      <x:c r="E238" s="72"/>
      <x:c r="F238" s="72"/>
      <x:c r="G238" s="72"/>
      <x:c r="H238" s="72"/>
      <x:c r="I238" s="72"/>
      <x:c r="J238" s="72"/>
      <x:c r="K238" s="72"/>
      <x:c r="L238" s="72"/>
      <x:c r="M238" s="72"/>
      <x:c r="N238" s="72"/>
      <x:c r="O238" s="72"/>
      <x:c r="P238" s="72"/>
      <x:c r="Q238" s="72"/>
      <x:c r="R238" s="72"/>
      <x:c r="S238" s="73"/>
    </x:row>
    <x:row r="239">
      <x:c r="A239" s="81"/>
      <x:c r="B239" s="72"/>
      <x:c r="C239" s="72"/>
      <x:c r="D239" s="72"/>
      <x:c r="E239" s="72"/>
      <x:c r="F239" s="72"/>
      <x:c r="G239" s="72"/>
      <x:c r="H239" s="72"/>
      <x:c r="I239" s="72"/>
      <x:c r="J239" s="72"/>
      <x:c r="K239" s="72"/>
      <x:c r="L239" s="72"/>
      <x:c r="M239" s="72"/>
      <x:c r="N239" s="72"/>
      <x:c r="O239" s="72"/>
      <x:c r="P239" s="72"/>
      <x:c r="Q239" s="72"/>
      <x:c r="R239" s="72"/>
      <x:c r="S239" s="73"/>
    </x:row>
    <x:row r="240">
      <x:c r="A240" s="81"/>
      <x:c r="B240" s="72"/>
      <x:c r="C240" s="72"/>
      <x:c r="D240" s="72"/>
      <x:c r="E240" s="72"/>
      <x:c r="F240" s="72"/>
      <x:c r="G240" s="72"/>
      <x:c r="H240" s="72"/>
      <x:c r="I240" s="72"/>
      <x:c r="J240" s="72"/>
      <x:c r="K240" s="72"/>
      <x:c r="L240" s="72"/>
      <x:c r="M240" s="72"/>
      <x:c r="N240" s="72"/>
      <x:c r="O240" s="72"/>
      <x:c r="P240" s="72"/>
      <x:c r="Q240" s="72"/>
      <x:c r="R240" s="72"/>
      <x:c r="S240" s="73"/>
    </x:row>
    <x:row r="241">
      <x:c r="A241" s="81"/>
      <x:c r="B241" s="72"/>
      <x:c r="C241" s="72"/>
      <x:c r="D241" s="72"/>
      <x:c r="E241" s="72"/>
      <x:c r="F241" s="72"/>
      <x:c r="G241" s="72"/>
      <x:c r="H241" s="72"/>
      <x:c r="I241" s="72"/>
      <x:c r="J241" s="72"/>
      <x:c r="K241" s="72"/>
      <x:c r="L241" s="72"/>
      <x:c r="M241" s="72"/>
      <x:c r="N241" s="72"/>
      <x:c r="O241" s="72"/>
      <x:c r="P241" s="72"/>
      <x:c r="Q241" s="72"/>
      <x:c r="R241" s="72"/>
      <x:c r="S241" s="73"/>
    </x:row>
    <x:row r="242">
      <x:c r="A242" s="81"/>
      <x:c r="B242" s="72"/>
      <x:c r="C242" s="72"/>
      <x:c r="D242" s="72"/>
      <x:c r="E242" s="72"/>
      <x:c r="F242" s="72"/>
      <x:c r="G242" s="72"/>
      <x:c r="H242" s="72"/>
      <x:c r="I242" s="72"/>
      <x:c r="J242" s="72"/>
      <x:c r="K242" s="72"/>
      <x:c r="L242" s="72"/>
      <x:c r="M242" s="72"/>
      <x:c r="N242" s="72"/>
      <x:c r="O242" s="72"/>
      <x:c r="P242" s="72"/>
      <x:c r="Q242" s="72"/>
      <x:c r="R242" s="72"/>
      <x:c r="S242" s="73"/>
    </x:row>
    <x:row r="243">
      <x:c r="A243" s="81"/>
      <x:c r="B243" s="72"/>
      <x:c r="C243" s="72"/>
      <x:c r="D243" s="72"/>
      <x:c r="E243" s="72"/>
      <x:c r="F243" s="72"/>
      <x:c r="G243" s="72"/>
      <x:c r="H243" s="72"/>
      <x:c r="I243" s="72"/>
      <x:c r="J243" s="72"/>
      <x:c r="K243" s="72"/>
      <x:c r="L243" s="72"/>
      <x:c r="M243" s="72"/>
      <x:c r="N243" s="72"/>
      <x:c r="O243" s="72"/>
      <x:c r="P243" s="72"/>
      <x:c r="Q243" s="72"/>
      <x:c r="R243" s="72"/>
      <x:c r="S243" s="73"/>
    </x:row>
    <x:row r="244">
      <x:c r="A244" s="81"/>
      <x:c r="B244" s="72"/>
      <x:c r="C244" s="72"/>
      <x:c r="D244" s="72"/>
      <x:c r="E244" s="72"/>
      <x:c r="F244" s="72"/>
      <x:c r="G244" s="72"/>
      <x:c r="H244" s="72"/>
      <x:c r="I244" s="72"/>
      <x:c r="J244" s="72"/>
      <x:c r="K244" s="72"/>
      <x:c r="L244" s="72"/>
      <x:c r="M244" s="72"/>
      <x:c r="N244" s="72"/>
      <x:c r="O244" s="72"/>
      <x:c r="P244" s="72"/>
      <x:c r="Q244" s="72"/>
      <x:c r="R244" s="72"/>
      <x:c r="S244" s="73"/>
    </x:row>
    <x:row r="245">
      <x:c r="A245" s="81"/>
      <x:c r="B245" s="72"/>
      <x:c r="C245" s="72"/>
      <x:c r="D245" s="72"/>
      <x:c r="E245" s="72"/>
      <x:c r="F245" s="72"/>
      <x:c r="G245" s="72"/>
      <x:c r="H245" s="72"/>
      <x:c r="I245" s="72"/>
      <x:c r="J245" s="72"/>
      <x:c r="K245" s="72"/>
      <x:c r="L245" s="72"/>
      <x:c r="M245" s="72"/>
      <x:c r="N245" s="72"/>
      <x:c r="O245" s="72"/>
      <x:c r="P245" s="72"/>
      <x:c r="Q245" s="72"/>
      <x:c r="R245" s="72"/>
      <x:c r="S245" s="73"/>
    </x:row>
    <x:row r="246">
      <x:c r="A246" s="81"/>
      <x:c r="B246" s="72"/>
      <x:c r="C246" s="72"/>
      <x:c r="D246" s="72"/>
      <x:c r="E246" s="72"/>
      <x:c r="F246" s="72"/>
      <x:c r="G246" s="72"/>
      <x:c r="H246" s="72"/>
      <x:c r="I246" s="72"/>
      <x:c r="J246" s="72"/>
      <x:c r="K246" s="72"/>
      <x:c r="L246" s="72"/>
      <x:c r="M246" s="72"/>
      <x:c r="N246" s="72"/>
      <x:c r="O246" s="72"/>
      <x:c r="P246" s="72"/>
      <x:c r="Q246" s="72"/>
      <x:c r="R246" s="72"/>
      <x:c r="S246" s="73"/>
    </x:row>
    <x:row r="247">
      <x:c r="A247" s="81"/>
      <x:c r="B247" s="72"/>
      <x:c r="C247" s="72"/>
      <x:c r="D247" s="72"/>
      <x:c r="E247" s="72"/>
      <x:c r="F247" s="72"/>
      <x:c r="G247" s="72"/>
      <x:c r="H247" s="72"/>
      <x:c r="I247" s="72"/>
      <x:c r="J247" s="72"/>
      <x:c r="K247" s="72"/>
      <x:c r="L247" s="72"/>
      <x:c r="M247" s="72"/>
      <x:c r="N247" s="72"/>
      <x:c r="O247" s="72"/>
      <x:c r="P247" s="72"/>
      <x:c r="Q247" s="72"/>
      <x:c r="R247" s="72"/>
      <x:c r="S247" s="73"/>
    </x:row>
    <x:row r="248">
      <x:c r="A248" s="81"/>
      <x:c r="B248" s="72"/>
      <x:c r="C248" s="72"/>
      <x:c r="D248" s="72"/>
      <x:c r="E248" s="72"/>
      <x:c r="F248" s="72"/>
      <x:c r="G248" s="72"/>
      <x:c r="H248" s="72"/>
      <x:c r="I248" s="72"/>
      <x:c r="J248" s="72"/>
      <x:c r="K248" s="72"/>
      <x:c r="L248" s="72"/>
      <x:c r="M248" s="72"/>
      <x:c r="N248" s="72"/>
      <x:c r="O248" s="72"/>
      <x:c r="P248" s="72"/>
      <x:c r="Q248" s="72"/>
      <x:c r="R248" s="72"/>
      <x:c r="S248" s="73"/>
    </x:row>
    <x:row r="249">
      <x:c r="A249" s="81"/>
      <x:c r="B249" s="72"/>
      <x:c r="C249" s="72"/>
      <x:c r="D249" s="72"/>
      <x:c r="E249" s="72"/>
      <x:c r="F249" s="72"/>
      <x:c r="G249" s="72"/>
      <x:c r="H249" s="72"/>
      <x:c r="I249" s="72"/>
      <x:c r="J249" s="72"/>
      <x:c r="K249" s="72"/>
      <x:c r="L249" s="72"/>
      <x:c r="M249" s="72"/>
      <x:c r="N249" s="72"/>
      <x:c r="O249" s="72"/>
      <x:c r="P249" s="72"/>
      <x:c r="Q249" s="72"/>
      <x:c r="R249" s="72"/>
      <x:c r="S249" s="73"/>
    </x:row>
    <x:row r="250">
      <x:c r="A250" s="81"/>
      <x:c r="B250" s="72"/>
      <x:c r="C250" s="72"/>
      <x:c r="D250" s="72"/>
      <x:c r="E250" s="72"/>
      <x:c r="F250" s="72"/>
      <x:c r="G250" s="72"/>
      <x:c r="H250" s="72"/>
      <x:c r="I250" s="72"/>
      <x:c r="J250" s="72"/>
      <x:c r="K250" s="72"/>
      <x:c r="L250" s="72"/>
      <x:c r="M250" s="72"/>
      <x:c r="N250" s="72"/>
      <x:c r="O250" s="72"/>
      <x:c r="P250" s="72"/>
      <x:c r="Q250" s="72"/>
      <x:c r="R250" s="72"/>
      <x:c r="S250" s="73"/>
    </x:row>
    <x:row r="251">
      <x:c r="A251" s="81"/>
      <x:c r="B251" s="72"/>
      <x:c r="C251" s="72"/>
      <x:c r="D251" s="72"/>
      <x:c r="E251" s="72"/>
      <x:c r="F251" s="72"/>
      <x:c r="G251" s="72"/>
      <x:c r="H251" s="72"/>
      <x:c r="I251" s="72"/>
      <x:c r="J251" s="72"/>
      <x:c r="K251" s="72"/>
      <x:c r="L251" s="72"/>
      <x:c r="M251" s="72"/>
      <x:c r="N251" s="72"/>
      <x:c r="O251" s="72"/>
      <x:c r="P251" s="72"/>
      <x:c r="Q251" s="72"/>
      <x:c r="R251" s="72"/>
      <x:c r="S251" s="73"/>
    </x:row>
    <x:row r="252">
      <x:c r="A252" s="81"/>
      <x:c r="B252" s="72"/>
      <x:c r="C252" s="72"/>
      <x:c r="D252" s="72"/>
      <x:c r="E252" s="72"/>
      <x:c r="F252" s="72"/>
      <x:c r="G252" s="72"/>
      <x:c r="H252" s="72"/>
      <x:c r="I252" s="72"/>
      <x:c r="J252" s="72"/>
      <x:c r="K252" s="72"/>
      <x:c r="L252" s="72"/>
      <x:c r="M252" s="72"/>
      <x:c r="N252" s="72"/>
      <x:c r="O252" s="72"/>
      <x:c r="P252" s="72"/>
      <x:c r="Q252" s="72"/>
      <x:c r="R252" s="72"/>
      <x:c r="S252" s="73"/>
    </x:row>
    <x:row r="253">
      <x:c r="A253" s="81"/>
      <x:c r="B253" s="72"/>
      <x:c r="C253" s="72"/>
      <x:c r="D253" s="72"/>
      <x:c r="E253" s="72"/>
      <x:c r="F253" s="72"/>
      <x:c r="G253" s="72"/>
      <x:c r="H253" s="72"/>
      <x:c r="I253" s="72"/>
      <x:c r="J253" s="72"/>
      <x:c r="K253" s="72"/>
      <x:c r="L253" s="72"/>
      <x:c r="M253" s="72"/>
      <x:c r="N253" s="72"/>
      <x:c r="O253" s="72"/>
      <x:c r="P253" s="72"/>
      <x:c r="Q253" s="72"/>
      <x:c r="R253" s="72"/>
      <x:c r="S253" s="73"/>
    </x:row>
    <x:row r="254">
      <x:c r="A254" s="81"/>
      <x:c r="B254" s="72"/>
      <x:c r="C254" s="72"/>
      <x:c r="D254" s="72"/>
      <x:c r="E254" s="72"/>
      <x:c r="F254" s="72"/>
      <x:c r="G254" s="72"/>
      <x:c r="H254" s="72"/>
      <x:c r="I254" s="72"/>
      <x:c r="J254" s="72"/>
      <x:c r="K254" s="72"/>
      <x:c r="L254" s="72"/>
      <x:c r="M254" s="72"/>
      <x:c r="N254" s="72"/>
      <x:c r="O254" s="72"/>
      <x:c r="P254" s="72"/>
      <x:c r="Q254" s="72"/>
      <x:c r="R254" s="72"/>
      <x:c r="S254" s="73"/>
    </x:row>
    <x:row r="255">
      <x:c r="A255" s="81"/>
      <x:c r="B255" s="72"/>
      <x:c r="C255" s="72"/>
      <x:c r="D255" s="72"/>
      <x:c r="E255" s="72"/>
      <x:c r="F255" s="72"/>
      <x:c r="G255" s="72"/>
      <x:c r="H255" s="72"/>
      <x:c r="I255" s="72"/>
      <x:c r="J255" s="72"/>
      <x:c r="K255" s="72"/>
      <x:c r="L255" s="72"/>
      <x:c r="M255" s="72"/>
      <x:c r="N255" s="72"/>
      <x:c r="O255" s="72"/>
      <x:c r="P255" s="72"/>
      <x:c r="Q255" s="72"/>
      <x:c r="R255" s="72"/>
      <x:c r="S255" s="73"/>
    </x:row>
    <x:row r="256">
      <x:c r="A256" s="81"/>
      <x:c r="B256" s="72"/>
      <x:c r="C256" s="72"/>
      <x:c r="D256" s="72"/>
      <x:c r="E256" s="72"/>
      <x:c r="F256" s="72"/>
      <x:c r="G256" s="72"/>
      <x:c r="H256" s="72"/>
      <x:c r="I256" s="72"/>
      <x:c r="J256" s="72"/>
      <x:c r="K256" s="72"/>
      <x:c r="L256" s="72"/>
      <x:c r="M256" s="72"/>
      <x:c r="N256" s="72"/>
      <x:c r="O256" s="72"/>
      <x:c r="P256" s="72"/>
      <x:c r="Q256" s="72"/>
      <x:c r="R256" s="72"/>
      <x:c r="S256" s="73"/>
    </x:row>
    <x:row r="257">
      <x:c r="A257" s="81"/>
      <x:c r="B257" s="72"/>
      <x:c r="C257" s="72"/>
      <x:c r="D257" s="72"/>
      <x:c r="E257" s="72"/>
      <x:c r="F257" s="72"/>
      <x:c r="G257" s="72"/>
      <x:c r="H257" s="72"/>
      <x:c r="I257" s="72"/>
      <x:c r="J257" s="72"/>
      <x:c r="K257" s="72"/>
      <x:c r="L257" s="72"/>
      <x:c r="M257" s="72"/>
      <x:c r="N257" s="72"/>
      <x:c r="O257" s="72"/>
      <x:c r="P257" s="72"/>
      <x:c r="Q257" s="72"/>
      <x:c r="R257" s="72"/>
      <x:c r="S257" s="73"/>
    </x:row>
    <x:row r="258">
      <x:c r="A258" s="81"/>
      <x:c r="B258" s="72"/>
      <x:c r="C258" s="72"/>
      <x:c r="D258" s="72"/>
      <x:c r="E258" s="72"/>
      <x:c r="F258" s="72"/>
      <x:c r="G258" s="72"/>
      <x:c r="H258" s="72"/>
      <x:c r="I258" s="72"/>
      <x:c r="J258" s="72"/>
      <x:c r="K258" s="72"/>
      <x:c r="L258" s="72"/>
      <x:c r="M258" s="72"/>
      <x:c r="N258" s="72"/>
      <x:c r="O258" s="72"/>
      <x:c r="P258" s="72"/>
      <x:c r="Q258" s="72"/>
      <x:c r="R258" s="72"/>
      <x:c r="S258" s="73"/>
    </x:row>
    <x:row r="259">
      <x:c r="A259" s="81"/>
      <x:c r="B259" s="72"/>
      <x:c r="C259" s="72"/>
      <x:c r="D259" s="72"/>
      <x:c r="E259" s="72"/>
      <x:c r="F259" s="72"/>
      <x:c r="G259" s="72"/>
      <x:c r="H259" s="72"/>
      <x:c r="I259" s="72"/>
      <x:c r="J259" s="72"/>
      <x:c r="K259" s="72"/>
      <x:c r="L259" s="72"/>
      <x:c r="M259" s="72"/>
      <x:c r="N259" s="72"/>
      <x:c r="O259" s="72"/>
      <x:c r="P259" s="72"/>
      <x:c r="Q259" s="72"/>
      <x:c r="R259" s="72"/>
      <x:c r="S259" s="73"/>
    </x:row>
    <x:row r="260">
      <x:c r="A260" s="81"/>
      <x:c r="B260" s="72"/>
      <x:c r="C260" s="72"/>
      <x:c r="D260" s="72"/>
      <x:c r="E260" s="72"/>
      <x:c r="F260" s="72"/>
      <x:c r="G260" s="72"/>
      <x:c r="H260" s="72"/>
      <x:c r="I260" s="72"/>
      <x:c r="J260" s="72"/>
      <x:c r="K260" s="72"/>
      <x:c r="L260" s="72"/>
      <x:c r="M260" s="72"/>
      <x:c r="N260" s="72"/>
      <x:c r="O260" s="72"/>
      <x:c r="P260" s="72"/>
      <x:c r="Q260" s="72"/>
      <x:c r="R260" s="72"/>
      <x:c r="S260" s="73"/>
    </x:row>
    <x:row r="261">
      <x:c r="A261" s="81"/>
      <x:c r="B261" s="72"/>
      <x:c r="C261" s="72"/>
      <x:c r="D261" s="72"/>
      <x:c r="E261" s="72"/>
      <x:c r="F261" s="72"/>
      <x:c r="G261" s="72"/>
      <x:c r="H261" s="72"/>
      <x:c r="I261" s="72"/>
      <x:c r="J261" s="72"/>
      <x:c r="K261" s="72"/>
      <x:c r="L261" s="72"/>
      <x:c r="M261" s="72"/>
      <x:c r="N261" s="72"/>
      <x:c r="O261" s="72"/>
      <x:c r="P261" s="72"/>
      <x:c r="Q261" s="72"/>
      <x:c r="R261" s="72"/>
      <x:c r="S261" s="73"/>
    </x:row>
    <x:row r="262">
      <x:c r="A262" s="81"/>
      <x:c r="B262" s="72"/>
      <x:c r="C262" s="72"/>
      <x:c r="D262" s="72"/>
      <x:c r="E262" s="72"/>
      <x:c r="F262" s="72"/>
      <x:c r="G262" s="72"/>
      <x:c r="H262" s="72"/>
      <x:c r="I262" s="72"/>
      <x:c r="J262" s="72"/>
      <x:c r="K262" s="72"/>
      <x:c r="L262" s="72"/>
      <x:c r="M262" s="72"/>
      <x:c r="N262" s="72"/>
      <x:c r="O262" s="72"/>
      <x:c r="P262" s="72"/>
      <x:c r="Q262" s="72"/>
      <x:c r="R262" s="72"/>
      <x:c r="S262" s="73"/>
    </x:row>
    <x:row r="263">
      <x:c r="A263" s="81"/>
      <x:c r="B263" s="72"/>
      <x:c r="C263" s="72"/>
      <x:c r="D263" s="72"/>
      <x:c r="E263" s="72"/>
      <x:c r="F263" s="72"/>
      <x:c r="G263" s="72"/>
      <x:c r="H263" s="72"/>
      <x:c r="I263" s="72"/>
      <x:c r="J263" s="72"/>
      <x:c r="K263" s="72"/>
      <x:c r="L263" s="72"/>
      <x:c r="M263" s="72"/>
      <x:c r="N263" s="72"/>
      <x:c r="O263" s="72"/>
      <x:c r="P263" s="72"/>
      <x:c r="Q263" s="72"/>
      <x:c r="R263" s="72"/>
      <x:c r="S263" s="73"/>
    </x:row>
    <x:row r="264">
      <x:c r="A264" s="81"/>
      <x:c r="B264" s="72"/>
      <x:c r="C264" s="72"/>
      <x:c r="D264" s="72"/>
      <x:c r="E264" s="72"/>
      <x:c r="F264" s="72"/>
      <x:c r="G264" s="72"/>
      <x:c r="H264" s="72"/>
      <x:c r="I264" s="72"/>
      <x:c r="J264" s="72"/>
      <x:c r="K264" s="72"/>
      <x:c r="L264" s="72"/>
      <x:c r="M264" s="72"/>
      <x:c r="N264" s="72"/>
      <x:c r="O264" s="72"/>
      <x:c r="P264" s="72"/>
      <x:c r="Q264" s="72"/>
      <x:c r="R264" s="72"/>
      <x:c r="S264" s="73"/>
    </x:row>
    <x:row r="265">
      <x:c r="A265" s="81"/>
      <x:c r="B265" s="72"/>
      <x:c r="C265" s="72"/>
      <x:c r="D265" s="72"/>
      <x:c r="E265" s="72"/>
      <x:c r="F265" s="72"/>
      <x:c r="G265" s="72"/>
      <x:c r="H265" s="72"/>
      <x:c r="I265" s="72"/>
      <x:c r="J265" s="72"/>
      <x:c r="K265" s="72"/>
      <x:c r="L265" s="72"/>
      <x:c r="M265" s="72"/>
      <x:c r="N265" s="72"/>
      <x:c r="O265" s="72"/>
      <x:c r="P265" s="72"/>
      <x:c r="Q265" s="72"/>
      <x:c r="R265" s="72"/>
      <x:c r="S265" s="73"/>
    </x:row>
    <x:row r="266">
      <x:c r="A266" s="81"/>
      <x:c r="B266" s="72"/>
      <x:c r="C266" s="72"/>
      <x:c r="D266" s="72"/>
      <x:c r="E266" s="72"/>
      <x:c r="F266" s="72"/>
      <x:c r="G266" s="72"/>
      <x:c r="H266" s="72"/>
      <x:c r="I266" s="72"/>
      <x:c r="J266" s="72"/>
      <x:c r="K266" s="72"/>
      <x:c r="L266" s="72"/>
      <x:c r="M266" s="72"/>
      <x:c r="N266" s="72"/>
      <x:c r="O266" s="72"/>
      <x:c r="P266" s="72"/>
      <x:c r="Q266" s="72"/>
      <x:c r="R266" s="72"/>
      <x:c r="S266" s="73"/>
    </x:row>
    <x:row r="267">
      <x:c r="A267" s="81"/>
      <x:c r="B267" s="72"/>
      <x:c r="C267" s="72"/>
      <x:c r="D267" s="72"/>
      <x:c r="E267" s="72"/>
      <x:c r="F267" s="72"/>
      <x:c r="G267" s="72"/>
      <x:c r="H267" s="72"/>
      <x:c r="I267" s="72"/>
      <x:c r="J267" s="72"/>
      <x:c r="K267" s="72"/>
      <x:c r="L267" s="72"/>
      <x:c r="M267" s="72"/>
      <x:c r="N267" s="72"/>
      <x:c r="O267" s="72"/>
      <x:c r="P267" s="72"/>
      <x:c r="Q267" s="72"/>
      <x:c r="R267" s="72"/>
      <x:c r="S267" s="73"/>
    </x:row>
    <x:row r="268">
      <x:c r="A268" s="81"/>
      <x:c r="B268" s="72"/>
      <x:c r="C268" s="72"/>
      <x:c r="D268" s="72"/>
      <x:c r="E268" s="72"/>
      <x:c r="F268" s="72"/>
      <x:c r="G268" s="72"/>
      <x:c r="H268" s="72"/>
      <x:c r="I268" s="72"/>
      <x:c r="J268" s="72"/>
      <x:c r="K268" s="72"/>
      <x:c r="L268" s="72"/>
      <x:c r="M268" s="72"/>
      <x:c r="N268" s="72"/>
      <x:c r="O268" s="72"/>
      <x:c r="P268" s="72"/>
      <x:c r="Q268" s="72"/>
      <x:c r="R268" s="72"/>
      <x:c r="S268" s="73"/>
    </x:row>
    <x:row r="269">
      <x:c r="A269" s="81"/>
      <x:c r="B269" s="72"/>
      <x:c r="C269" s="72"/>
      <x:c r="D269" s="72"/>
      <x:c r="E269" s="72"/>
      <x:c r="F269" s="72"/>
      <x:c r="G269" s="72"/>
      <x:c r="H269" s="72"/>
      <x:c r="I269" s="72"/>
      <x:c r="J269" s="72"/>
      <x:c r="K269" s="72"/>
      <x:c r="L269" s="72"/>
      <x:c r="M269" s="72"/>
      <x:c r="N269" s="72"/>
      <x:c r="O269" s="72"/>
      <x:c r="P269" s="72"/>
      <x:c r="Q269" s="72"/>
      <x:c r="R269" s="72"/>
      <x:c r="S269" s="73"/>
    </x:row>
    <x:row r="270">
      <x:c r="A270" s="81"/>
      <x:c r="B270" s="72"/>
      <x:c r="C270" s="72"/>
      <x:c r="D270" s="72"/>
      <x:c r="E270" s="72"/>
      <x:c r="F270" s="72"/>
      <x:c r="G270" s="72"/>
      <x:c r="H270" s="72"/>
      <x:c r="I270" s="72"/>
      <x:c r="J270" s="72"/>
      <x:c r="K270" s="72"/>
      <x:c r="L270" s="72"/>
      <x:c r="M270" s="72"/>
      <x:c r="N270" s="72"/>
      <x:c r="O270" s="72"/>
      <x:c r="P270" s="72"/>
      <x:c r="Q270" s="72"/>
      <x:c r="R270" s="72"/>
      <x:c r="S270" s="73"/>
    </x:row>
    <x:row r="271">
      <x:c r="A271" s="81"/>
      <x:c r="B271" s="72"/>
      <x:c r="C271" s="72"/>
      <x:c r="D271" s="72"/>
      <x:c r="E271" s="72"/>
      <x:c r="F271" s="72"/>
      <x:c r="G271" s="72"/>
      <x:c r="H271" s="72"/>
      <x:c r="I271" s="72"/>
      <x:c r="J271" s="72"/>
      <x:c r="K271" s="72"/>
      <x:c r="L271" s="72"/>
      <x:c r="M271" s="72"/>
      <x:c r="N271" s="72"/>
      <x:c r="O271" s="72"/>
      <x:c r="P271" s="72"/>
      <x:c r="Q271" s="72"/>
      <x:c r="R271" s="72"/>
      <x:c r="S271" s="73"/>
    </x:row>
    <x:row r="272">
      <x:c r="A272" s="81"/>
      <x:c r="B272" s="72"/>
      <x:c r="C272" s="72"/>
      <x:c r="D272" s="72"/>
      <x:c r="E272" s="72"/>
      <x:c r="F272" s="72"/>
      <x:c r="G272" s="72"/>
      <x:c r="H272" s="72"/>
      <x:c r="I272" s="72"/>
      <x:c r="J272" s="72"/>
      <x:c r="K272" s="72"/>
      <x:c r="L272" s="72"/>
      <x:c r="M272" s="72"/>
      <x:c r="N272" s="72"/>
      <x:c r="O272" s="72"/>
      <x:c r="P272" s="72"/>
      <x:c r="Q272" s="72"/>
      <x:c r="R272" s="72"/>
      <x:c r="S272" s="73"/>
    </x:row>
    <x:row r="273">
      <x:c r="A273" s="81"/>
      <x:c r="B273" s="72"/>
      <x:c r="C273" s="72"/>
      <x:c r="D273" s="72"/>
      <x:c r="E273" s="72"/>
      <x:c r="F273" s="72"/>
      <x:c r="G273" s="72"/>
      <x:c r="H273" s="72"/>
      <x:c r="I273" s="72"/>
      <x:c r="J273" s="72"/>
      <x:c r="K273" s="72"/>
      <x:c r="L273" s="72"/>
      <x:c r="M273" s="72"/>
      <x:c r="N273" s="72"/>
      <x:c r="O273" s="72"/>
      <x:c r="P273" s="72"/>
      <x:c r="Q273" s="72"/>
      <x:c r="R273" s="72"/>
      <x:c r="S273" s="73"/>
    </x:row>
    <x:row r="274">
      <x:c r="A274" s="81"/>
      <x:c r="B274" s="72"/>
      <x:c r="C274" s="72"/>
      <x:c r="D274" s="72"/>
      <x:c r="E274" s="72"/>
      <x:c r="F274" s="72"/>
      <x:c r="G274" s="72"/>
      <x:c r="H274" s="72"/>
      <x:c r="I274" s="72"/>
      <x:c r="J274" s="72"/>
      <x:c r="K274" s="72"/>
      <x:c r="L274" s="72"/>
      <x:c r="M274" s="72"/>
      <x:c r="N274" s="72"/>
      <x:c r="O274" s="72"/>
      <x:c r="P274" s="72"/>
      <x:c r="Q274" s="72"/>
      <x:c r="R274" s="72"/>
      <x:c r="S274" s="73"/>
    </x:row>
    <x:row r="275">
      <x:c r="A275" s="81"/>
      <x:c r="B275" s="72"/>
      <x:c r="C275" s="72"/>
      <x:c r="D275" s="72"/>
      <x:c r="E275" s="72"/>
      <x:c r="F275" s="72"/>
      <x:c r="G275" s="72"/>
      <x:c r="H275" s="72"/>
      <x:c r="I275" s="72"/>
      <x:c r="J275" s="72"/>
      <x:c r="K275" s="72"/>
      <x:c r="L275" s="72"/>
      <x:c r="M275" s="72"/>
      <x:c r="N275" s="72"/>
      <x:c r="O275" s="72"/>
      <x:c r="P275" s="72"/>
      <x:c r="Q275" s="72"/>
      <x:c r="R275" s="72"/>
      <x:c r="S275" s="73"/>
    </x:row>
    <x:row r="276">
      <x:c r="A276" s="81"/>
      <x:c r="B276" s="72"/>
      <x:c r="C276" s="72"/>
      <x:c r="D276" s="72"/>
      <x:c r="E276" s="72"/>
      <x:c r="F276" s="72"/>
      <x:c r="G276" s="72"/>
      <x:c r="H276" s="72"/>
      <x:c r="I276" s="72"/>
      <x:c r="J276" s="72"/>
      <x:c r="K276" s="72"/>
      <x:c r="L276" s="72"/>
      <x:c r="M276" s="72"/>
      <x:c r="N276" s="72"/>
      <x:c r="O276" s="72"/>
      <x:c r="P276" s="72"/>
      <x:c r="Q276" s="72"/>
      <x:c r="R276" s="72"/>
      <x:c r="S276" s="73"/>
    </x:row>
    <x:row r="277">
      <x:c r="A277" s="81"/>
      <x:c r="B277" s="72"/>
      <x:c r="C277" s="72"/>
      <x:c r="D277" s="72"/>
      <x:c r="E277" s="72"/>
      <x:c r="F277" s="72"/>
      <x:c r="G277" s="72"/>
      <x:c r="H277" s="72"/>
      <x:c r="I277" s="72"/>
      <x:c r="J277" s="72"/>
      <x:c r="K277" s="72"/>
      <x:c r="L277" s="72"/>
      <x:c r="M277" s="72"/>
      <x:c r="N277" s="72"/>
      <x:c r="O277" s="72"/>
      <x:c r="P277" s="72"/>
      <x:c r="Q277" s="72"/>
      <x:c r="R277" s="72"/>
      <x:c r="S277" s="73"/>
    </x:row>
    <x:row r="278">
      <x:c r="A278" s="81"/>
      <x:c r="B278" s="72"/>
      <x:c r="C278" s="72"/>
      <x:c r="D278" s="72"/>
      <x:c r="E278" s="72"/>
      <x:c r="F278" s="72"/>
      <x:c r="G278" s="72"/>
      <x:c r="H278" s="72"/>
      <x:c r="I278" s="72"/>
      <x:c r="J278" s="72"/>
      <x:c r="K278" s="72"/>
      <x:c r="L278" s="72"/>
      <x:c r="M278" s="72"/>
      <x:c r="N278" s="72"/>
      <x:c r="O278" s="72"/>
      <x:c r="P278" s="72"/>
      <x:c r="Q278" s="72"/>
      <x:c r="R278" s="72"/>
      <x:c r="S278" s="73"/>
    </x:row>
    <x:row r="279">
      <x:c r="A279" s="81"/>
      <x:c r="B279" s="72"/>
      <x:c r="C279" s="72"/>
      <x:c r="D279" s="72"/>
      <x:c r="E279" s="72"/>
      <x:c r="F279" s="72"/>
      <x:c r="G279" s="72"/>
      <x:c r="H279" s="72"/>
      <x:c r="I279" s="72"/>
      <x:c r="J279" s="72"/>
      <x:c r="K279" s="72"/>
      <x:c r="L279" s="72"/>
      <x:c r="M279" s="72"/>
      <x:c r="N279" s="72"/>
      <x:c r="O279" s="72"/>
      <x:c r="P279" s="72"/>
      <x:c r="Q279" s="72"/>
      <x:c r="R279" s="72"/>
      <x:c r="S279" s="73"/>
    </x:row>
    <x:row r="280">
      <x:c r="A280" s="81"/>
      <x:c r="B280" s="72"/>
      <x:c r="C280" s="72"/>
      <x:c r="D280" s="72"/>
      <x:c r="E280" s="72"/>
      <x:c r="F280" s="72"/>
      <x:c r="G280" s="72"/>
      <x:c r="H280" s="72"/>
      <x:c r="I280" s="72"/>
      <x:c r="J280" s="72"/>
      <x:c r="K280" s="72"/>
      <x:c r="L280" s="72"/>
      <x:c r="M280" s="72"/>
      <x:c r="N280" s="72"/>
      <x:c r="O280" s="72"/>
      <x:c r="P280" s="72"/>
      <x:c r="Q280" s="72"/>
      <x:c r="R280" s="72"/>
      <x:c r="S280" s="73"/>
    </x:row>
    <x:row r="281">
      <x:c r="A281" s="81"/>
      <x:c r="B281" s="72"/>
      <x:c r="C281" s="72"/>
      <x:c r="D281" s="72"/>
      <x:c r="E281" s="72"/>
      <x:c r="F281" s="72"/>
      <x:c r="G281" s="72"/>
      <x:c r="H281" s="72"/>
      <x:c r="I281" s="72"/>
      <x:c r="J281" s="72"/>
      <x:c r="K281" s="72"/>
      <x:c r="L281" s="72"/>
      <x:c r="M281" s="72"/>
      <x:c r="N281" s="72"/>
      <x:c r="O281" s="72"/>
      <x:c r="P281" s="72"/>
      <x:c r="Q281" s="72"/>
      <x:c r="R281" s="72"/>
      <x:c r="S281" s="73"/>
    </x:row>
    <x:row r="282">
      <x:c r="A282" s="81"/>
      <x:c r="B282" s="72"/>
      <x:c r="C282" s="72"/>
      <x:c r="D282" s="72"/>
      <x:c r="E282" s="72"/>
      <x:c r="F282" s="72"/>
      <x:c r="G282" s="72"/>
      <x:c r="H282" s="72"/>
      <x:c r="I282" s="72"/>
      <x:c r="J282" s="72"/>
      <x:c r="K282" s="72"/>
      <x:c r="L282" s="72"/>
      <x:c r="M282" s="72"/>
      <x:c r="N282" s="72"/>
      <x:c r="O282" s="72"/>
      <x:c r="P282" s="72"/>
      <x:c r="Q282" s="72"/>
      <x:c r="R282" s="72"/>
      <x:c r="S282" s="73"/>
    </x:row>
    <x:row r="283">
      <x:c r="A283" s="81"/>
      <x:c r="B283" s="72"/>
      <x:c r="C283" s="72"/>
      <x:c r="D283" s="72"/>
      <x:c r="E283" s="72"/>
      <x:c r="F283" s="72"/>
      <x:c r="G283" s="72"/>
      <x:c r="H283" s="72"/>
      <x:c r="I283" s="72"/>
      <x:c r="J283" s="72"/>
      <x:c r="K283" s="72"/>
      <x:c r="L283" s="72"/>
      <x:c r="M283" s="72"/>
      <x:c r="N283" s="72"/>
      <x:c r="O283" s="72"/>
      <x:c r="P283" s="72"/>
      <x:c r="Q283" s="72"/>
      <x:c r="R283" s="72"/>
      <x:c r="S283" s="73"/>
    </x:row>
    <x:row r="284">
      <x:c r="A284" s="81"/>
      <x:c r="B284" s="72"/>
      <x:c r="C284" s="72"/>
      <x:c r="D284" s="72"/>
      <x:c r="E284" s="72"/>
      <x:c r="F284" s="72"/>
      <x:c r="G284" s="72"/>
      <x:c r="H284" s="72"/>
      <x:c r="I284" s="72"/>
      <x:c r="J284" s="72"/>
      <x:c r="K284" s="72"/>
      <x:c r="L284" s="72"/>
      <x:c r="M284" s="72"/>
      <x:c r="N284" s="72"/>
      <x:c r="O284" s="72"/>
      <x:c r="P284" s="72"/>
      <x:c r="Q284" s="72"/>
      <x:c r="R284" s="72"/>
      <x:c r="S284" s="73"/>
    </x:row>
    <x:row r="285">
      <x:c r="A285" s="81"/>
      <x:c r="B285" s="72"/>
      <x:c r="C285" s="72"/>
      <x:c r="D285" s="72"/>
      <x:c r="E285" s="72"/>
      <x:c r="F285" s="72"/>
      <x:c r="G285" s="72"/>
      <x:c r="H285" s="72"/>
      <x:c r="I285" s="72"/>
      <x:c r="J285" s="72"/>
      <x:c r="K285" s="72"/>
      <x:c r="L285" s="72"/>
      <x:c r="M285" s="72"/>
      <x:c r="N285" s="72"/>
      <x:c r="O285" s="72"/>
      <x:c r="P285" s="72"/>
      <x:c r="Q285" s="72"/>
      <x:c r="R285" s="72"/>
      <x:c r="S285" s="73"/>
    </x:row>
    <x:row r="286">
      <x:c r="A286" s="81"/>
      <x:c r="B286" s="72"/>
      <x:c r="C286" s="72"/>
      <x:c r="D286" s="72"/>
      <x:c r="E286" s="72"/>
      <x:c r="F286" s="72"/>
      <x:c r="G286" s="72"/>
      <x:c r="H286" s="72"/>
      <x:c r="I286" s="72"/>
      <x:c r="J286" s="72"/>
      <x:c r="K286" s="72"/>
      <x:c r="L286" s="72"/>
      <x:c r="M286" s="72"/>
      <x:c r="N286" s="72"/>
      <x:c r="O286" s="72"/>
      <x:c r="P286" s="72"/>
      <x:c r="Q286" s="72"/>
      <x:c r="R286" s="72"/>
      <x:c r="S286" s="73"/>
    </x:row>
    <x:row r="287">
      <x:c r="A287" s="81"/>
      <x:c r="B287" s="72"/>
      <x:c r="C287" s="72"/>
      <x:c r="D287" s="72"/>
      <x:c r="E287" s="72"/>
      <x:c r="F287" s="72"/>
      <x:c r="G287" s="72"/>
      <x:c r="H287" s="72"/>
      <x:c r="I287" s="72"/>
      <x:c r="J287" s="72"/>
      <x:c r="K287" s="72"/>
      <x:c r="L287" s="72"/>
      <x:c r="M287" s="72"/>
      <x:c r="N287" s="72"/>
      <x:c r="O287" s="72"/>
      <x:c r="P287" s="72"/>
      <x:c r="Q287" s="72"/>
      <x:c r="R287" s="72"/>
      <x:c r="S287" s="73"/>
    </x:row>
    <x:row r="288">
      <x:c r="A288" s="81"/>
      <x:c r="B288" s="72"/>
      <x:c r="C288" s="72"/>
      <x:c r="D288" s="72"/>
      <x:c r="E288" s="72"/>
      <x:c r="F288" s="72"/>
      <x:c r="G288" s="72"/>
      <x:c r="H288" s="72"/>
      <x:c r="I288" s="72"/>
      <x:c r="J288" s="72"/>
      <x:c r="K288" s="72"/>
      <x:c r="L288" s="72"/>
      <x:c r="M288" s="72"/>
      <x:c r="N288" s="72"/>
      <x:c r="O288" s="72"/>
      <x:c r="P288" s="72"/>
      <x:c r="Q288" s="72"/>
      <x:c r="R288" s="72"/>
      <x:c r="S288" s="73"/>
    </x:row>
    <x:row r="289">
      <x:c r="A289" s="81"/>
      <x:c r="B289" s="72"/>
      <x:c r="C289" s="72"/>
      <x:c r="D289" s="72"/>
      <x:c r="E289" s="72"/>
      <x:c r="F289" s="72"/>
      <x:c r="G289" s="72"/>
      <x:c r="H289" s="72"/>
      <x:c r="I289" s="72"/>
      <x:c r="J289" s="72"/>
      <x:c r="K289" s="72"/>
      <x:c r="L289" s="72"/>
      <x:c r="M289" s="72"/>
      <x:c r="N289" s="72"/>
      <x:c r="O289" s="72"/>
      <x:c r="P289" s="72"/>
      <x:c r="Q289" s="72"/>
      <x:c r="R289" s="72"/>
      <x:c r="S289" s="73"/>
    </x:row>
    <x:row r="290">
      <x:c r="A290" s="81"/>
      <x:c r="B290" s="72"/>
      <x:c r="C290" s="72"/>
      <x:c r="D290" s="72"/>
      <x:c r="E290" s="72"/>
      <x:c r="F290" s="72"/>
      <x:c r="G290" s="72"/>
      <x:c r="H290" s="72"/>
      <x:c r="I290" s="72"/>
      <x:c r="J290" s="72"/>
      <x:c r="K290" s="72"/>
      <x:c r="L290" s="72"/>
      <x:c r="M290" s="72"/>
      <x:c r="N290" s="72"/>
      <x:c r="O290" s="72"/>
      <x:c r="P290" s="72"/>
      <x:c r="Q290" s="72"/>
      <x:c r="R290" s="72"/>
      <x:c r="S290" s="73"/>
    </x:row>
    <x:row r="291">
      <x:c r="A291" s="81"/>
      <x:c r="B291" s="72"/>
      <x:c r="C291" s="72"/>
      <x:c r="D291" s="72"/>
      <x:c r="E291" s="72"/>
      <x:c r="F291" s="72"/>
      <x:c r="G291" s="72"/>
      <x:c r="H291" s="72"/>
      <x:c r="I291" s="72"/>
      <x:c r="J291" s="72"/>
      <x:c r="K291" s="72"/>
      <x:c r="L291" s="72"/>
      <x:c r="M291" s="72"/>
      <x:c r="N291" s="72"/>
      <x:c r="O291" s="72"/>
      <x:c r="P291" s="72"/>
      <x:c r="Q291" s="72"/>
      <x:c r="R291" s="72"/>
      <x:c r="S291" s="73"/>
    </x:row>
    <x:row r="292">
      <x:c r="A292" s="81"/>
      <x:c r="B292" s="72"/>
      <x:c r="C292" s="72"/>
      <x:c r="D292" s="72"/>
      <x:c r="E292" s="72"/>
      <x:c r="F292" s="72"/>
      <x:c r="G292" s="72"/>
      <x:c r="H292" s="72"/>
      <x:c r="I292" s="72"/>
      <x:c r="J292" s="72"/>
      <x:c r="K292" s="72"/>
      <x:c r="L292" s="72"/>
      <x:c r="M292" s="72"/>
      <x:c r="N292" s="72"/>
      <x:c r="O292" s="72"/>
      <x:c r="P292" s="72"/>
      <x:c r="Q292" s="72"/>
      <x:c r="R292" s="72"/>
      <x:c r="S292" s="73"/>
    </x:row>
    <x:row r="293">
      <x:c r="A293" s="81"/>
      <x:c r="B293" s="72"/>
      <x:c r="C293" s="72"/>
      <x:c r="D293" s="72"/>
      <x:c r="E293" s="72"/>
      <x:c r="F293" s="72"/>
      <x:c r="G293" s="72"/>
      <x:c r="H293" s="72"/>
      <x:c r="I293" s="72"/>
      <x:c r="J293" s="72"/>
      <x:c r="K293" s="72"/>
      <x:c r="L293" s="72"/>
      <x:c r="M293" s="72"/>
      <x:c r="N293" s="72"/>
      <x:c r="O293" s="72"/>
      <x:c r="P293" s="72"/>
      <x:c r="Q293" s="72"/>
      <x:c r="R293" s="72"/>
      <x:c r="S293" s="73"/>
    </x:row>
    <x:row r="294">
      <x:c r="A294" s="81"/>
      <x:c r="B294" s="72"/>
      <x:c r="C294" s="72"/>
      <x:c r="D294" s="72"/>
      <x:c r="E294" s="72"/>
      <x:c r="F294" s="72"/>
      <x:c r="G294" s="72"/>
      <x:c r="H294" s="72"/>
      <x:c r="I294" s="72"/>
      <x:c r="J294" s="72"/>
      <x:c r="K294" s="72"/>
      <x:c r="L294" s="72"/>
      <x:c r="M294" s="72"/>
      <x:c r="N294" s="72"/>
      <x:c r="O294" s="72"/>
      <x:c r="P294" s="72"/>
      <x:c r="Q294" s="72"/>
      <x:c r="R294" s="72"/>
      <x:c r="S294" s="73"/>
    </x:row>
    <x:row r="295">
      <x:c r="A295" s="81"/>
      <x:c r="B295" s="72"/>
      <x:c r="C295" s="72"/>
      <x:c r="D295" s="72"/>
      <x:c r="E295" s="72"/>
      <x:c r="F295" s="72"/>
      <x:c r="G295" s="72"/>
      <x:c r="H295" s="72"/>
      <x:c r="I295" s="72"/>
      <x:c r="J295" s="72"/>
      <x:c r="K295" s="72"/>
      <x:c r="L295" s="72"/>
      <x:c r="M295" s="72"/>
      <x:c r="N295" s="72"/>
      <x:c r="O295" s="72"/>
      <x:c r="P295" s="72"/>
      <x:c r="Q295" s="72"/>
      <x:c r="R295" s="72"/>
      <x:c r="S295" s="73"/>
    </x:row>
    <x:row r="296">
      <x:c r="A296" s="81"/>
      <x:c r="B296" s="72"/>
      <x:c r="C296" s="72"/>
      <x:c r="D296" s="72"/>
      <x:c r="E296" s="72"/>
      <x:c r="F296" s="72"/>
      <x:c r="G296" s="72"/>
      <x:c r="H296" s="72"/>
      <x:c r="I296" s="72"/>
      <x:c r="J296" s="72"/>
      <x:c r="K296" s="72"/>
      <x:c r="L296" s="72"/>
      <x:c r="M296" s="72"/>
      <x:c r="N296" s="72"/>
      <x:c r="O296" s="72"/>
      <x:c r="P296" s="72"/>
      <x:c r="Q296" s="72"/>
      <x:c r="R296" s="72"/>
      <x:c r="S296" s="73"/>
    </x:row>
    <x:row r="297">
      <x:c r="A297" s="81"/>
      <x:c r="B297" s="72"/>
      <x:c r="C297" s="72"/>
      <x:c r="D297" s="72"/>
      <x:c r="E297" s="72"/>
      <x:c r="F297" s="72"/>
      <x:c r="G297" s="72"/>
      <x:c r="H297" s="72"/>
      <x:c r="I297" s="72"/>
      <x:c r="J297" s="72"/>
      <x:c r="K297" s="72"/>
      <x:c r="L297" s="72"/>
      <x:c r="M297" s="72"/>
      <x:c r="N297" s="72"/>
      <x:c r="O297" s="72"/>
      <x:c r="P297" s="72"/>
      <x:c r="Q297" s="72"/>
      <x:c r="R297" s="72"/>
      <x:c r="S297" s="73"/>
    </x:row>
    <x:row r="298">
      <x:c r="A298" s="81"/>
      <x:c r="B298" s="72"/>
      <x:c r="C298" s="72"/>
      <x:c r="D298" s="72"/>
      <x:c r="E298" s="72"/>
      <x:c r="F298" s="72"/>
      <x:c r="G298" s="72"/>
      <x:c r="H298" s="72"/>
      <x:c r="I298" s="72"/>
      <x:c r="J298" s="72"/>
      <x:c r="K298" s="72"/>
      <x:c r="L298" s="72"/>
      <x:c r="M298" s="72"/>
      <x:c r="N298" s="72"/>
      <x:c r="O298" s="72"/>
      <x:c r="P298" s="72"/>
      <x:c r="Q298" s="72"/>
      <x:c r="R298" s="72"/>
      <x:c r="S298" s="73"/>
    </x:row>
    <x:row r="299">
      <x:c r="A299" s="81"/>
      <x:c r="B299" s="72"/>
      <x:c r="C299" s="72"/>
      <x:c r="D299" s="72"/>
      <x:c r="E299" s="72"/>
      <x:c r="F299" s="72"/>
      <x:c r="G299" s="72"/>
      <x:c r="H299" s="72"/>
      <x:c r="I299" s="72"/>
      <x:c r="J299" s="72"/>
      <x:c r="K299" s="72"/>
      <x:c r="L299" s="72"/>
      <x:c r="M299" s="72"/>
      <x:c r="N299" s="72"/>
      <x:c r="O299" s="72"/>
      <x:c r="P299" s="72"/>
      <x:c r="Q299" s="72"/>
      <x:c r="R299" s="72"/>
      <x:c r="S299" s="73"/>
    </x:row>
    <x:row r="300">
      <x:c r="A300" s="81"/>
      <x:c r="B300" s="72"/>
      <x:c r="C300" s="72"/>
      <x:c r="D300" s="72"/>
      <x:c r="E300" s="72"/>
      <x:c r="F300" s="72"/>
      <x:c r="G300" s="72"/>
      <x:c r="H300" s="72"/>
      <x:c r="I300" s="72"/>
      <x:c r="J300" s="72"/>
      <x:c r="K300" s="72"/>
      <x:c r="L300" s="72"/>
      <x:c r="M300" s="72"/>
      <x:c r="N300" s="72"/>
      <x:c r="O300" s="72"/>
      <x:c r="P300" s="72"/>
      <x:c r="Q300" s="72"/>
      <x:c r="R300" s="72"/>
      <x:c r="S300" s="73"/>
    </x:row>
    <x:row r="301">
      <x:c r="A301" s="81"/>
      <x:c r="B301" s="72"/>
      <x:c r="C301" s="72"/>
      <x:c r="D301" s="72"/>
      <x:c r="E301" s="72"/>
      <x:c r="F301" s="72"/>
      <x:c r="G301" s="72"/>
      <x:c r="H301" s="72"/>
      <x:c r="I301" s="72"/>
      <x:c r="J301" s="72"/>
      <x:c r="K301" s="72"/>
      <x:c r="L301" s="72"/>
      <x:c r="M301" s="72"/>
      <x:c r="N301" s="72"/>
      <x:c r="O301" s="72"/>
      <x:c r="P301" s="72"/>
      <x:c r="Q301" s="72"/>
      <x:c r="R301" s="72"/>
      <x:c r="S301" s="73"/>
    </x:row>
    <x:row r="302">
      <x:c r="A302" s="81"/>
      <x:c r="B302" s="72"/>
      <x:c r="C302" s="72"/>
      <x:c r="D302" s="72"/>
      <x:c r="E302" s="72"/>
      <x:c r="F302" s="72"/>
      <x:c r="G302" s="72"/>
      <x:c r="H302" s="72"/>
      <x:c r="I302" s="72"/>
      <x:c r="J302" s="72"/>
      <x:c r="K302" s="72"/>
      <x:c r="L302" s="72"/>
      <x:c r="M302" s="72"/>
      <x:c r="N302" s="72"/>
      <x:c r="O302" s="72"/>
      <x:c r="P302" s="72"/>
      <x:c r="Q302" s="72"/>
      <x:c r="R302" s="72"/>
      <x:c r="S302" s="73"/>
    </x:row>
    <x:row r="303">
      <x:c r="A303" s="81"/>
      <x:c r="B303" s="72"/>
      <x:c r="C303" s="72"/>
      <x:c r="D303" s="72"/>
      <x:c r="E303" s="72"/>
      <x:c r="F303" s="72"/>
      <x:c r="G303" s="72"/>
      <x:c r="H303" s="72"/>
      <x:c r="I303" s="72"/>
      <x:c r="J303" s="72"/>
      <x:c r="K303" s="72"/>
      <x:c r="L303" s="72"/>
      <x:c r="M303" s="72"/>
      <x:c r="N303" s="72"/>
      <x:c r="O303" s="72"/>
      <x:c r="P303" s="72"/>
      <x:c r="Q303" s="72"/>
      <x:c r="R303" s="72"/>
      <x:c r="S303" s="73"/>
    </x:row>
    <x:row r="304">
      <x:c r="A304" s="81"/>
      <x:c r="B304" s="72"/>
      <x:c r="C304" s="72"/>
      <x:c r="D304" s="72"/>
      <x:c r="E304" s="72"/>
      <x:c r="F304" s="72"/>
      <x:c r="G304" s="72"/>
      <x:c r="H304" s="72"/>
      <x:c r="I304" s="72"/>
      <x:c r="J304" s="72"/>
      <x:c r="K304" s="72"/>
      <x:c r="L304" s="72"/>
      <x:c r="M304" s="72"/>
      <x:c r="N304" s="72"/>
      <x:c r="O304" s="72"/>
      <x:c r="P304" s="72"/>
      <x:c r="Q304" s="72"/>
      <x:c r="R304" s="72"/>
      <x:c r="S304" s="73"/>
    </x:row>
    <x:row r="305">
      <x:c r="A305" s="81"/>
      <x:c r="B305" s="72"/>
      <x:c r="C305" s="72"/>
      <x:c r="D305" s="72"/>
      <x:c r="E305" s="72"/>
      <x:c r="F305" s="72"/>
      <x:c r="G305" s="72"/>
      <x:c r="H305" s="72"/>
      <x:c r="I305" s="72"/>
      <x:c r="J305" s="72"/>
      <x:c r="K305" s="72"/>
      <x:c r="L305" s="72"/>
      <x:c r="M305" s="72"/>
      <x:c r="N305" s="72"/>
      <x:c r="O305" s="72"/>
      <x:c r="P305" s="72"/>
      <x:c r="Q305" s="72"/>
      <x:c r="R305" s="72"/>
      <x:c r="S305" s="73"/>
    </x:row>
    <x:row r="306">
      <x:c r="A306" s="81"/>
      <x:c r="B306" s="72"/>
      <x:c r="C306" s="72"/>
      <x:c r="D306" s="72"/>
      <x:c r="E306" s="72"/>
      <x:c r="F306" s="72"/>
      <x:c r="G306" s="72"/>
      <x:c r="H306" s="72"/>
      <x:c r="I306" s="72"/>
      <x:c r="J306" s="72"/>
      <x:c r="K306" s="72"/>
      <x:c r="L306" s="72"/>
      <x:c r="M306" s="72"/>
      <x:c r="N306" s="72"/>
      <x:c r="O306" s="72"/>
      <x:c r="P306" s="72"/>
      <x:c r="Q306" s="72"/>
      <x:c r="R306" s="72"/>
      <x:c r="S306" s="73"/>
    </x:row>
    <x:row r="307">
      <x:c r="A307" s="81"/>
      <x:c r="B307" s="72"/>
      <x:c r="C307" s="72"/>
      <x:c r="D307" s="72"/>
      <x:c r="E307" s="72"/>
      <x:c r="F307" s="72"/>
      <x:c r="G307" s="72"/>
      <x:c r="H307" s="72"/>
      <x:c r="I307" s="72"/>
      <x:c r="J307" s="72"/>
      <x:c r="K307" s="72"/>
      <x:c r="L307" s="72"/>
      <x:c r="M307" s="72"/>
      <x:c r="N307" s="72"/>
      <x:c r="O307" s="72"/>
      <x:c r="P307" s="72"/>
      <x:c r="Q307" s="72"/>
      <x:c r="R307" s="72"/>
      <x:c r="S307" s="73"/>
    </x:row>
    <x:row r="308">
      <x:c r="A308" s="81"/>
      <x:c r="B308" s="72"/>
      <x:c r="C308" s="72"/>
      <x:c r="D308" s="72"/>
      <x:c r="E308" s="72"/>
      <x:c r="F308" s="72"/>
      <x:c r="G308" s="72"/>
      <x:c r="H308" s="72"/>
      <x:c r="I308" s="72"/>
      <x:c r="J308" s="72"/>
      <x:c r="K308" s="72"/>
      <x:c r="L308" s="72"/>
      <x:c r="M308" s="72"/>
      <x:c r="N308" s="72"/>
      <x:c r="O308" s="72"/>
      <x:c r="P308" s="72"/>
      <x:c r="Q308" s="72"/>
      <x:c r="R308" s="72"/>
      <x:c r="S308" s="73"/>
    </x:row>
    <x:row r="309">
      <x:c r="A309" s="81"/>
      <x:c r="B309" s="72"/>
      <x:c r="C309" s="72"/>
      <x:c r="D309" s="72"/>
      <x:c r="E309" s="72"/>
      <x:c r="F309" s="72"/>
      <x:c r="G309" s="72"/>
      <x:c r="H309" s="72"/>
      <x:c r="I309" s="72"/>
      <x:c r="J309" s="72"/>
      <x:c r="K309" s="72"/>
      <x:c r="L309" s="72"/>
      <x:c r="M309" s="72"/>
      <x:c r="N309" s="72"/>
      <x:c r="O309" s="72"/>
      <x:c r="P309" s="72"/>
      <x:c r="Q309" s="72"/>
      <x:c r="R309" s="72"/>
      <x:c r="S309" s="73"/>
    </x:row>
    <x:row r="310">
      <x:c r="A310" s="81"/>
      <x:c r="B310" s="72"/>
      <x:c r="C310" s="72"/>
      <x:c r="D310" s="72"/>
      <x:c r="E310" s="72"/>
      <x:c r="F310" s="72"/>
      <x:c r="G310" s="72"/>
      <x:c r="H310" s="72"/>
      <x:c r="I310" s="72"/>
      <x:c r="J310" s="72"/>
      <x:c r="K310" s="72"/>
      <x:c r="L310" s="72"/>
      <x:c r="M310" s="72"/>
      <x:c r="N310" s="72"/>
      <x:c r="O310" s="72"/>
      <x:c r="P310" s="72"/>
      <x:c r="Q310" s="72"/>
      <x:c r="R310" s="72"/>
      <x:c r="S310" s="73"/>
    </x:row>
    <x:row r="311">
      <x:c r="A311" s="81"/>
      <x:c r="B311" s="72"/>
      <x:c r="C311" s="72"/>
      <x:c r="D311" s="72"/>
      <x:c r="E311" s="72"/>
      <x:c r="F311" s="72"/>
      <x:c r="G311" s="72"/>
      <x:c r="H311" s="72"/>
      <x:c r="I311" s="72"/>
      <x:c r="J311" s="72"/>
      <x:c r="K311" s="72"/>
      <x:c r="L311" s="72"/>
      <x:c r="M311" s="72"/>
      <x:c r="N311" s="72"/>
      <x:c r="O311" s="72"/>
      <x:c r="P311" s="72"/>
      <x:c r="Q311" s="72"/>
      <x:c r="R311" s="72"/>
      <x:c r="S311" s="73"/>
    </x:row>
    <x:row r="312">
      <x:c r="A312" s="81"/>
      <x:c r="B312" s="72"/>
      <x:c r="C312" s="72"/>
      <x:c r="D312" s="72"/>
      <x:c r="E312" s="72"/>
      <x:c r="F312" s="72"/>
      <x:c r="G312" s="72"/>
      <x:c r="H312" s="72"/>
      <x:c r="I312" s="72"/>
      <x:c r="J312" s="72"/>
      <x:c r="K312" s="72"/>
      <x:c r="L312" s="72"/>
      <x:c r="M312" s="72"/>
      <x:c r="N312" s="72"/>
      <x:c r="O312" s="72"/>
      <x:c r="P312" s="72"/>
      <x:c r="Q312" s="72"/>
      <x:c r="R312" s="72"/>
      <x:c r="S312" s="73"/>
    </x:row>
    <x:row r="313">
      <x:c r="A313" s="81"/>
      <x:c r="B313" s="72"/>
      <x:c r="C313" s="72"/>
      <x:c r="D313" s="72"/>
      <x:c r="E313" s="72"/>
      <x:c r="F313" s="72"/>
      <x:c r="G313" s="72"/>
      <x:c r="H313" s="72"/>
      <x:c r="I313" s="72"/>
      <x:c r="J313" s="72"/>
      <x:c r="K313" s="72"/>
      <x:c r="L313" s="72"/>
      <x:c r="M313" s="72"/>
      <x:c r="N313" s="72"/>
      <x:c r="O313" s="72"/>
      <x:c r="P313" s="72"/>
      <x:c r="Q313" s="72"/>
      <x:c r="R313" s="72"/>
      <x:c r="S313" s="73"/>
    </x:row>
    <x:row r="314">
      <x:c r="A314" s="81"/>
      <x:c r="B314" s="72"/>
      <x:c r="C314" s="72"/>
      <x:c r="D314" s="72"/>
      <x:c r="E314" s="72"/>
      <x:c r="F314" s="72"/>
      <x:c r="G314" s="72"/>
      <x:c r="H314" s="72"/>
      <x:c r="I314" s="72"/>
      <x:c r="J314" s="72"/>
      <x:c r="K314" s="72"/>
      <x:c r="L314" s="72"/>
      <x:c r="M314" s="72"/>
      <x:c r="N314" s="72"/>
      <x:c r="O314" s="72"/>
      <x:c r="P314" s="72"/>
      <x:c r="Q314" s="72"/>
      <x:c r="R314" s="72"/>
      <x:c r="S314" s="73"/>
    </x:row>
    <x:row r="315">
      <x:c r="A315" s="81"/>
      <x:c r="B315" s="72"/>
      <x:c r="C315" s="72"/>
      <x:c r="D315" s="72"/>
      <x:c r="E315" s="72"/>
      <x:c r="F315" s="72"/>
      <x:c r="G315" s="72"/>
      <x:c r="H315" s="72"/>
      <x:c r="I315" s="72"/>
      <x:c r="J315" s="72"/>
      <x:c r="K315" s="72"/>
      <x:c r="L315" s="72"/>
      <x:c r="M315" s="72"/>
      <x:c r="N315" s="72"/>
      <x:c r="O315" s="72"/>
      <x:c r="P315" s="72"/>
      <x:c r="Q315" s="72"/>
      <x:c r="R315" s="72"/>
      <x:c r="S315" s="73"/>
    </x:row>
    <x:row r="316">
      <x:c r="A316" s="81"/>
      <x:c r="B316" s="72"/>
      <x:c r="C316" s="72"/>
      <x:c r="D316" s="72"/>
      <x:c r="E316" s="72"/>
      <x:c r="F316" s="72"/>
      <x:c r="G316" s="72"/>
      <x:c r="H316" s="72"/>
      <x:c r="I316" s="72"/>
      <x:c r="J316" s="72"/>
      <x:c r="K316" s="72"/>
      <x:c r="L316" s="72"/>
      <x:c r="M316" s="72"/>
      <x:c r="N316" s="72"/>
      <x:c r="O316" s="72"/>
      <x:c r="P316" s="72"/>
      <x:c r="Q316" s="72"/>
      <x:c r="R316" s="72"/>
      <x:c r="S316" s="73"/>
    </x:row>
    <x:row r="317">
      <x:c r="A317" s="81"/>
      <x:c r="B317" s="72"/>
      <x:c r="C317" s="72"/>
      <x:c r="D317" s="72"/>
      <x:c r="E317" s="72"/>
      <x:c r="F317" s="72"/>
      <x:c r="G317" s="72"/>
      <x:c r="H317" s="72"/>
      <x:c r="I317" s="72"/>
      <x:c r="J317" s="72"/>
      <x:c r="K317" s="72"/>
      <x:c r="L317" s="72"/>
      <x:c r="M317" s="72"/>
      <x:c r="N317" s="72"/>
      <x:c r="O317" s="72"/>
      <x:c r="P317" s="72"/>
      <x:c r="Q317" s="72"/>
      <x:c r="R317" s="72"/>
      <x:c r="S317" s="73"/>
    </x:row>
    <x:row r="318">
      <x:c r="A318" s="81"/>
      <x:c r="B318" s="72"/>
      <x:c r="C318" s="72"/>
      <x:c r="D318" s="72"/>
      <x:c r="E318" s="72"/>
      <x:c r="F318" s="72"/>
      <x:c r="G318" s="72"/>
      <x:c r="H318" s="72"/>
      <x:c r="I318" s="72"/>
      <x:c r="J318" s="72"/>
      <x:c r="K318" s="72"/>
      <x:c r="L318" s="72"/>
      <x:c r="M318" s="72"/>
      <x:c r="N318" s="72"/>
      <x:c r="O318" s="72"/>
      <x:c r="P318" s="72"/>
      <x:c r="Q318" s="72"/>
      <x:c r="R318" s="72"/>
      <x:c r="S318" s="73"/>
    </x:row>
    <x:row r="319">
      <x:c r="A319" s="81"/>
      <x:c r="B319" s="72"/>
      <x:c r="C319" s="72"/>
      <x:c r="D319" s="72"/>
      <x:c r="E319" s="72"/>
      <x:c r="F319" s="72"/>
      <x:c r="G319" s="72"/>
      <x:c r="H319" s="72"/>
      <x:c r="I319" s="72"/>
      <x:c r="J319" s="72"/>
      <x:c r="K319" s="72"/>
      <x:c r="L319" s="72"/>
      <x:c r="M319" s="72"/>
      <x:c r="N319" s="72"/>
      <x:c r="O319" s="72"/>
      <x:c r="P319" s="72"/>
      <x:c r="Q319" s="72"/>
      <x:c r="R319" s="72"/>
      <x:c r="S319" s="73"/>
    </x:row>
    <x:row r="320">
      <x:c r="A320" s="81"/>
      <x:c r="B320" s="72"/>
      <x:c r="C320" s="72"/>
      <x:c r="D320" s="72"/>
      <x:c r="E320" s="72"/>
      <x:c r="F320" s="72"/>
      <x:c r="G320" s="72"/>
      <x:c r="H320" s="72"/>
      <x:c r="I320" s="72"/>
      <x:c r="J320" s="72"/>
      <x:c r="K320" s="72"/>
      <x:c r="L320" s="72"/>
      <x:c r="M320" s="72"/>
      <x:c r="N320" s="72"/>
      <x:c r="O320" s="72"/>
      <x:c r="P320" s="72"/>
      <x:c r="Q320" s="72"/>
      <x:c r="R320" s="72"/>
      <x:c r="S320" s="73"/>
    </x:row>
    <x:row r="321">
      <x:c r="A321" s="81"/>
      <x:c r="B321" s="72"/>
      <x:c r="C321" s="72"/>
      <x:c r="D321" s="72"/>
      <x:c r="E321" s="72"/>
      <x:c r="F321" s="72"/>
      <x:c r="G321" s="72"/>
      <x:c r="H321" s="72"/>
      <x:c r="I321" s="72"/>
      <x:c r="J321" s="72"/>
      <x:c r="K321" s="72"/>
      <x:c r="L321" s="72"/>
      <x:c r="M321" s="72"/>
      <x:c r="N321" s="72"/>
      <x:c r="O321" s="72"/>
      <x:c r="P321" s="72"/>
      <x:c r="Q321" s="72"/>
      <x:c r="R321" s="72"/>
      <x:c r="S321" s="73"/>
    </x:row>
    <x:row r="322">
      <x:c r="A322" s="81"/>
      <x:c r="B322" s="72"/>
      <x:c r="C322" s="72"/>
      <x:c r="D322" s="72"/>
      <x:c r="E322" s="72"/>
      <x:c r="F322" s="72"/>
      <x:c r="G322" s="72"/>
      <x:c r="H322" s="72"/>
      <x:c r="I322" s="72"/>
      <x:c r="J322" s="72"/>
      <x:c r="K322" s="72"/>
      <x:c r="L322" s="72"/>
      <x:c r="M322" s="72"/>
      <x:c r="N322" s="72"/>
      <x:c r="O322" s="72"/>
      <x:c r="P322" s="72"/>
      <x:c r="Q322" s="72"/>
      <x:c r="R322" s="72"/>
      <x:c r="S322" s="73"/>
    </x:row>
    <x:row r="323">
      <x:c r="A323" s="81"/>
      <x:c r="B323" s="72"/>
      <x:c r="C323" s="72"/>
      <x:c r="D323" s="72"/>
      <x:c r="E323" s="72"/>
      <x:c r="F323" s="72"/>
      <x:c r="G323" s="72"/>
      <x:c r="H323" s="72"/>
      <x:c r="I323" s="72"/>
      <x:c r="J323" s="72"/>
      <x:c r="K323" s="72"/>
      <x:c r="L323" s="72"/>
      <x:c r="M323" s="72"/>
      <x:c r="N323" s="72"/>
      <x:c r="O323" s="72"/>
      <x:c r="P323" s="72"/>
      <x:c r="Q323" s="72"/>
      <x:c r="R323" s="72"/>
      <x:c r="S323" s="73"/>
    </x:row>
    <x:row r="324">
      <x:c r="A324" s="81"/>
      <x:c r="B324" s="72"/>
      <x:c r="C324" s="72"/>
      <x:c r="D324" s="72"/>
      <x:c r="E324" s="72"/>
      <x:c r="F324" s="72"/>
      <x:c r="G324" s="72"/>
      <x:c r="H324" s="72"/>
      <x:c r="I324" s="72"/>
      <x:c r="J324" s="72"/>
      <x:c r="K324" s="72"/>
      <x:c r="L324" s="72"/>
      <x:c r="M324" s="72"/>
      <x:c r="N324" s="72"/>
      <x:c r="O324" s="72"/>
      <x:c r="P324" s="72"/>
      <x:c r="Q324" s="72"/>
      <x:c r="R324" s="72"/>
      <x:c r="S324" s="73"/>
    </x:row>
    <x:row r="325">
      <x:c r="A325" s="81"/>
      <x:c r="B325" s="72"/>
      <x:c r="C325" s="72"/>
      <x:c r="D325" s="72"/>
      <x:c r="E325" s="72"/>
      <x:c r="F325" s="72"/>
      <x:c r="G325" s="72"/>
      <x:c r="H325" s="72"/>
      <x:c r="I325" s="72"/>
      <x:c r="J325" s="72"/>
      <x:c r="K325" s="72"/>
      <x:c r="L325" s="72"/>
      <x:c r="M325" s="72"/>
      <x:c r="N325" s="72"/>
      <x:c r="O325" s="72"/>
      <x:c r="P325" s="72"/>
      <x:c r="Q325" s="72"/>
      <x:c r="R325" s="72"/>
      <x:c r="S325" s="73"/>
    </x:row>
    <x:row r="326">
      <x:c r="A326" s="81"/>
      <x:c r="B326" s="72"/>
      <x:c r="C326" s="72"/>
      <x:c r="D326" s="72"/>
      <x:c r="E326" s="72"/>
      <x:c r="F326" s="72"/>
      <x:c r="G326" s="72"/>
      <x:c r="H326" s="72"/>
      <x:c r="I326" s="72"/>
      <x:c r="J326" s="72"/>
      <x:c r="K326" s="72"/>
      <x:c r="L326" s="72"/>
      <x:c r="M326" s="72"/>
      <x:c r="N326" s="72"/>
      <x:c r="O326" s="72"/>
      <x:c r="P326" s="72"/>
      <x:c r="Q326" s="72"/>
      <x:c r="R326" s="72"/>
      <x:c r="S326" s="73"/>
    </x:row>
    <x:row r="327">
      <x:c r="A327" s="81"/>
      <x:c r="B327" s="72"/>
      <x:c r="C327" s="72"/>
      <x:c r="D327" s="72"/>
      <x:c r="E327" s="72"/>
      <x:c r="F327" s="72"/>
      <x:c r="G327" s="72"/>
      <x:c r="H327" s="72"/>
      <x:c r="I327" s="72"/>
      <x:c r="J327" s="72"/>
      <x:c r="K327" s="72"/>
      <x:c r="L327" s="72"/>
      <x:c r="M327" s="72"/>
      <x:c r="N327" s="72"/>
      <x:c r="O327" s="72"/>
      <x:c r="P327" s="72"/>
      <x:c r="Q327" s="72"/>
      <x:c r="R327" s="72"/>
      <x:c r="S327" s="73"/>
    </x:row>
    <x:row r="328">
      <x:c r="A328" s="81"/>
      <x:c r="B328" s="72"/>
      <x:c r="C328" s="72"/>
      <x:c r="D328" s="72"/>
      <x:c r="E328" s="72"/>
      <x:c r="F328" s="72"/>
      <x:c r="G328" s="72"/>
      <x:c r="H328" s="72"/>
      <x:c r="I328" s="72"/>
      <x:c r="J328" s="72"/>
      <x:c r="K328" s="72"/>
      <x:c r="L328" s="72"/>
      <x:c r="M328" s="72"/>
      <x:c r="N328" s="72"/>
      <x:c r="O328" s="72"/>
      <x:c r="P328" s="72"/>
      <x:c r="Q328" s="72"/>
      <x:c r="R328" s="72"/>
      <x:c r="S328" s="73"/>
    </x:row>
    <x:row r="329">
      <x:c r="A329" s="81"/>
      <x:c r="B329" s="72"/>
      <x:c r="C329" s="72"/>
      <x:c r="D329" s="72"/>
      <x:c r="E329" s="72"/>
      <x:c r="F329" s="72"/>
      <x:c r="G329" s="72"/>
      <x:c r="H329" s="72"/>
      <x:c r="I329" s="72"/>
      <x:c r="J329" s="72"/>
      <x:c r="K329" s="72"/>
      <x:c r="L329" s="72"/>
      <x:c r="M329" s="72"/>
      <x:c r="N329" s="72"/>
      <x:c r="O329" s="72"/>
      <x:c r="P329" s="72"/>
      <x:c r="Q329" s="72"/>
      <x:c r="R329" s="72"/>
      <x:c r="S329" s="73"/>
    </x:row>
    <x:row r="330">
      <x:c r="A330" s="81"/>
      <x:c r="B330" s="72"/>
      <x:c r="C330" s="72"/>
      <x:c r="D330" s="72"/>
      <x:c r="E330" s="72"/>
      <x:c r="F330" s="72"/>
      <x:c r="G330" s="72"/>
      <x:c r="H330" s="72"/>
      <x:c r="I330" s="72"/>
      <x:c r="J330" s="72"/>
      <x:c r="K330" s="72"/>
      <x:c r="L330" s="72"/>
      <x:c r="M330" s="72"/>
      <x:c r="N330" s="72"/>
      <x:c r="O330" s="72"/>
      <x:c r="P330" s="72"/>
      <x:c r="Q330" s="72"/>
      <x:c r="R330" s="72"/>
      <x:c r="S330" s="73"/>
    </x:row>
    <x:row r="331">
      <x:c r="A331" s="81"/>
      <x:c r="B331" s="72"/>
      <x:c r="C331" s="72"/>
      <x:c r="D331" s="72"/>
      <x:c r="E331" s="72"/>
      <x:c r="F331" s="72"/>
      <x:c r="G331" s="72"/>
      <x:c r="H331" s="72"/>
      <x:c r="I331" s="72"/>
      <x:c r="J331" s="72"/>
      <x:c r="K331" s="72"/>
      <x:c r="L331" s="72"/>
      <x:c r="M331" s="72"/>
      <x:c r="N331" s="72"/>
      <x:c r="O331" s="72"/>
      <x:c r="P331" s="72"/>
      <x:c r="Q331" s="72"/>
      <x:c r="R331" s="72"/>
      <x:c r="S331" s="73"/>
    </x:row>
    <x:row r="332">
      <x:c r="A332" s="81"/>
      <x:c r="B332" s="72"/>
      <x:c r="C332" s="72"/>
      <x:c r="D332" s="72"/>
      <x:c r="E332" s="72"/>
      <x:c r="F332" s="72"/>
      <x:c r="G332" s="72"/>
      <x:c r="H332" s="72"/>
      <x:c r="I332" s="72"/>
      <x:c r="J332" s="72"/>
      <x:c r="K332" s="72"/>
      <x:c r="L332" s="72"/>
      <x:c r="M332" s="72"/>
      <x:c r="N332" s="72"/>
      <x:c r="O332" s="72"/>
      <x:c r="P332" s="72"/>
      <x:c r="Q332" s="72"/>
      <x:c r="R332" s="72"/>
      <x:c r="S332" s="73"/>
    </x:row>
    <x:row r="333">
      <x:c r="A333" s="81"/>
      <x:c r="B333" s="72"/>
      <x:c r="C333" s="72"/>
      <x:c r="D333" s="72"/>
      <x:c r="E333" s="72"/>
      <x:c r="F333" s="72"/>
      <x:c r="G333" s="72"/>
      <x:c r="H333" s="72"/>
      <x:c r="I333" s="72"/>
      <x:c r="J333" s="72"/>
      <x:c r="K333" s="72"/>
      <x:c r="L333" s="72"/>
      <x:c r="M333" s="72"/>
      <x:c r="N333" s="72"/>
      <x:c r="O333" s="72"/>
      <x:c r="P333" s="72"/>
      <x:c r="Q333" s="72"/>
      <x:c r="R333" s="72"/>
      <x:c r="S333" s="73"/>
    </x:row>
    <x:row r="334">
      <x:c r="A334" s="81"/>
      <x:c r="B334" s="72"/>
      <x:c r="C334" s="72"/>
      <x:c r="D334" s="72"/>
      <x:c r="E334" s="72"/>
      <x:c r="F334" s="72"/>
      <x:c r="G334" s="72"/>
      <x:c r="H334" s="72"/>
      <x:c r="I334" s="72"/>
      <x:c r="J334" s="72"/>
      <x:c r="K334" s="72"/>
      <x:c r="L334" s="72"/>
      <x:c r="M334" s="72"/>
      <x:c r="N334" s="72"/>
      <x:c r="O334" s="72"/>
      <x:c r="P334" s="72"/>
      <x:c r="Q334" s="72"/>
      <x:c r="R334" s="72"/>
      <x:c r="S334" s="73"/>
    </x:row>
    <x:row r="335">
      <x:c r="A335" s="81"/>
      <x:c r="B335" s="72"/>
      <x:c r="C335" s="72"/>
      <x:c r="D335" s="72"/>
      <x:c r="E335" s="72"/>
      <x:c r="F335" s="72"/>
      <x:c r="G335" s="72"/>
      <x:c r="H335" s="72"/>
      <x:c r="I335" s="72"/>
      <x:c r="J335" s="72"/>
      <x:c r="K335" s="72"/>
      <x:c r="L335" s="72"/>
      <x:c r="M335" s="72"/>
      <x:c r="N335" s="72"/>
      <x:c r="O335" s="72"/>
      <x:c r="P335" s="72"/>
      <x:c r="Q335" s="72"/>
      <x:c r="R335" s="72"/>
      <x:c r="S335" s="73"/>
    </x:row>
    <x:row r="336">
      <x:c r="A336" s="81"/>
      <x:c r="B336" s="72"/>
      <x:c r="C336" s="72"/>
      <x:c r="D336" s="72"/>
      <x:c r="E336" s="72"/>
      <x:c r="F336" s="72"/>
      <x:c r="G336" s="72"/>
      <x:c r="H336" s="72"/>
      <x:c r="I336" s="72"/>
      <x:c r="J336" s="72"/>
      <x:c r="K336" s="72"/>
      <x:c r="L336" s="72"/>
      <x:c r="M336" s="72"/>
      <x:c r="N336" s="72"/>
      <x:c r="O336" s="72"/>
      <x:c r="P336" s="72"/>
      <x:c r="Q336" s="72"/>
      <x:c r="R336" s="72"/>
      <x:c r="S336" s="73"/>
    </x:row>
    <x:row r="337">
      <x:c r="A337" s="81"/>
      <x:c r="B337" s="72"/>
      <x:c r="C337" s="72"/>
      <x:c r="D337" s="72"/>
      <x:c r="E337" s="72"/>
      <x:c r="F337" s="72"/>
      <x:c r="G337" s="72"/>
      <x:c r="H337" s="72"/>
      <x:c r="I337" s="72"/>
      <x:c r="J337" s="72"/>
      <x:c r="K337" s="72"/>
      <x:c r="L337" s="72"/>
      <x:c r="M337" s="72"/>
      <x:c r="N337" s="72"/>
      <x:c r="O337" s="72"/>
      <x:c r="P337" s="72"/>
      <x:c r="Q337" s="72"/>
      <x:c r="R337" s="72"/>
      <x:c r="S337" s="73"/>
    </x:row>
    <x:row r="338">
      <x:c r="A338" s="81"/>
      <x:c r="B338" s="72"/>
      <x:c r="C338" s="72"/>
      <x:c r="D338" s="72"/>
      <x:c r="E338" s="72"/>
      <x:c r="F338" s="72"/>
      <x:c r="G338" s="72"/>
      <x:c r="H338" s="72"/>
      <x:c r="I338" s="72"/>
      <x:c r="J338" s="72"/>
      <x:c r="K338" s="72"/>
      <x:c r="L338" s="72"/>
      <x:c r="M338" s="72"/>
      <x:c r="N338" s="72"/>
      <x:c r="O338" s="72"/>
      <x:c r="P338" s="72"/>
      <x:c r="Q338" s="72"/>
      <x:c r="R338" s="72"/>
      <x:c r="S338" s="73"/>
    </x:row>
    <x:row r="339">
      <x:c r="A339" s="81"/>
      <x:c r="B339" s="72"/>
      <x:c r="C339" s="72"/>
      <x:c r="D339" s="72"/>
      <x:c r="E339" s="72"/>
      <x:c r="F339" s="72"/>
      <x:c r="G339" s="72"/>
      <x:c r="H339" s="72"/>
      <x:c r="I339" s="72"/>
      <x:c r="J339" s="72"/>
      <x:c r="K339" s="72"/>
      <x:c r="L339" s="72"/>
      <x:c r="M339" s="72"/>
      <x:c r="N339" s="72"/>
      <x:c r="O339" s="72"/>
      <x:c r="P339" s="72"/>
      <x:c r="Q339" s="72"/>
      <x:c r="R339" s="72"/>
      <x:c r="S339" s="73"/>
    </x:row>
    <x:row r="340">
      <x:c r="A340" s="81"/>
      <x:c r="B340" s="72"/>
      <x:c r="C340" s="72"/>
      <x:c r="D340" s="72"/>
      <x:c r="E340" s="72"/>
      <x:c r="F340" s="72"/>
      <x:c r="G340" s="72"/>
      <x:c r="H340" s="72"/>
      <x:c r="I340" s="72"/>
      <x:c r="J340" s="72"/>
      <x:c r="K340" s="72"/>
      <x:c r="L340" s="72"/>
      <x:c r="M340" s="72"/>
      <x:c r="N340" s="72"/>
      <x:c r="O340" s="72"/>
      <x:c r="P340" s="72"/>
      <x:c r="Q340" s="72"/>
      <x:c r="R340" s="72"/>
      <x:c r="S340" s="73"/>
    </x:row>
    <x:row r="341">
      <x:c r="A341" s="81"/>
      <x:c r="B341" s="72"/>
      <x:c r="C341" s="72"/>
      <x:c r="D341" s="72"/>
      <x:c r="E341" s="72"/>
      <x:c r="F341" s="72"/>
      <x:c r="G341" s="72"/>
      <x:c r="H341" s="72"/>
      <x:c r="I341" s="72"/>
      <x:c r="J341" s="72"/>
      <x:c r="K341" s="72"/>
      <x:c r="L341" s="72"/>
      <x:c r="M341" s="72"/>
      <x:c r="N341" s="72"/>
      <x:c r="O341" s="72"/>
      <x:c r="P341" s="72"/>
      <x:c r="Q341" s="72"/>
      <x:c r="R341" s="72"/>
      <x:c r="S341" s="73"/>
    </x:row>
    <x:row r="342">
      <x:c r="A342" s="81"/>
      <x:c r="B342" s="72"/>
      <x:c r="C342" s="72"/>
      <x:c r="D342" s="72"/>
      <x:c r="E342" s="72"/>
      <x:c r="F342" s="72"/>
      <x:c r="G342" s="72"/>
      <x:c r="H342" s="72"/>
      <x:c r="I342" s="72"/>
      <x:c r="J342" s="72"/>
      <x:c r="K342" s="72"/>
      <x:c r="L342" s="72"/>
      <x:c r="M342" s="72"/>
      <x:c r="N342" s="72"/>
      <x:c r="O342" s="72"/>
      <x:c r="P342" s="72"/>
      <x:c r="Q342" s="72"/>
      <x:c r="R342" s="72"/>
      <x:c r="S342" s="73"/>
    </x:row>
    <x:row r="343">
      <x:c r="A343" s="81"/>
      <x:c r="B343" s="72"/>
      <x:c r="C343" s="72"/>
      <x:c r="D343" s="72"/>
      <x:c r="E343" s="72"/>
      <x:c r="F343" s="72"/>
      <x:c r="G343" s="72"/>
      <x:c r="H343" s="72"/>
      <x:c r="I343" s="72"/>
      <x:c r="J343" s="72"/>
      <x:c r="K343" s="72"/>
      <x:c r="L343" s="72"/>
      <x:c r="M343" s="72"/>
      <x:c r="N343" s="72"/>
      <x:c r="O343" s="72"/>
      <x:c r="P343" s="72"/>
      <x:c r="Q343" s="72"/>
      <x:c r="R343" s="72"/>
      <x:c r="S343" s="73"/>
    </x:row>
    <x:row r="344">
      <x:c r="A344" s="81"/>
      <x:c r="B344" s="72"/>
      <x:c r="C344" s="72"/>
      <x:c r="D344" s="72"/>
      <x:c r="E344" s="72"/>
      <x:c r="F344" s="72"/>
      <x:c r="G344" s="72"/>
      <x:c r="H344" s="72"/>
      <x:c r="I344" s="72"/>
      <x:c r="J344" s="72"/>
      <x:c r="K344" s="72"/>
      <x:c r="L344" s="72"/>
      <x:c r="M344" s="72"/>
      <x:c r="N344" s="72"/>
      <x:c r="O344" s="72"/>
      <x:c r="P344" s="72"/>
      <x:c r="Q344" s="72"/>
      <x:c r="R344" s="72"/>
      <x:c r="S344" s="73"/>
    </x:row>
    <x:row r="345">
      <x:c r="A345" s="81"/>
      <x:c r="B345" s="72"/>
      <x:c r="C345" s="72"/>
      <x:c r="D345" s="72"/>
      <x:c r="E345" s="72"/>
      <x:c r="F345" s="72"/>
      <x:c r="G345" s="72"/>
      <x:c r="H345" s="72"/>
      <x:c r="I345" s="72"/>
      <x:c r="J345" s="72"/>
      <x:c r="K345" s="72"/>
      <x:c r="L345" s="72"/>
      <x:c r="M345" s="72"/>
      <x:c r="N345" s="72"/>
      <x:c r="O345" s="72"/>
      <x:c r="P345" s="72"/>
      <x:c r="Q345" s="72"/>
      <x:c r="R345" s="72"/>
      <x:c r="S345" s="73"/>
    </x:row>
    <x:row r="346">
      <x:c r="A346" s="81"/>
      <x:c r="B346" s="72"/>
      <x:c r="C346" s="72"/>
      <x:c r="D346" s="72"/>
      <x:c r="E346" s="72"/>
      <x:c r="F346" s="72"/>
      <x:c r="G346" s="72"/>
      <x:c r="H346" s="72"/>
      <x:c r="I346" s="72"/>
      <x:c r="J346" s="72"/>
      <x:c r="K346" s="72"/>
      <x:c r="L346" s="72"/>
      <x:c r="M346" s="72"/>
      <x:c r="N346" s="72"/>
      <x:c r="O346" s="72"/>
      <x:c r="P346" s="72"/>
      <x:c r="Q346" s="72"/>
      <x:c r="R346" s="72"/>
      <x:c r="S346" s="73"/>
    </x:row>
    <x:row r="347">
      <x:c r="A347" s="81"/>
      <x:c r="B347" s="72"/>
      <x:c r="C347" s="72"/>
      <x:c r="D347" s="72"/>
      <x:c r="E347" s="72"/>
      <x:c r="F347" s="72"/>
      <x:c r="G347" s="72"/>
      <x:c r="H347" s="72"/>
      <x:c r="I347" s="72"/>
      <x:c r="J347" s="72"/>
      <x:c r="K347" s="72"/>
      <x:c r="L347" s="72"/>
      <x:c r="M347" s="72"/>
      <x:c r="N347" s="72"/>
      <x:c r="O347" s="72"/>
      <x:c r="P347" s="72"/>
      <x:c r="Q347" s="72"/>
      <x:c r="R347" s="72"/>
      <x:c r="S347" s="73"/>
    </x:row>
    <x:row r="348">
      <x:c r="A348" s="81"/>
      <x:c r="B348" s="72"/>
      <x:c r="C348" s="72"/>
      <x:c r="D348" s="72"/>
      <x:c r="E348" s="72"/>
      <x:c r="F348" s="72"/>
      <x:c r="G348" s="72"/>
      <x:c r="H348" s="72"/>
      <x:c r="I348" s="72"/>
      <x:c r="J348" s="72"/>
      <x:c r="K348" s="72"/>
      <x:c r="L348" s="72"/>
      <x:c r="M348" s="72"/>
      <x:c r="N348" s="72"/>
      <x:c r="O348" s="72"/>
      <x:c r="P348" s="72"/>
      <x:c r="Q348" s="72"/>
      <x:c r="R348" s="72"/>
      <x:c r="S348" s="73"/>
    </x:row>
    <x:row r="349">
      <x:c r="A349" s="81"/>
      <x:c r="B349" s="72"/>
      <x:c r="C349" s="72"/>
      <x:c r="D349" s="72"/>
      <x:c r="E349" s="72"/>
      <x:c r="F349" s="72"/>
      <x:c r="G349" s="72"/>
      <x:c r="H349" s="72"/>
      <x:c r="I349" s="72"/>
      <x:c r="J349" s="72"/>
      <x:c r="K349" s="72"/>
      <x:c r="L349" s="72"/>
      <x:c r="M349" s="72"/>
      <x:c r="N349" s="72"/>
      <x:c r="O349" s="72"/>
      <x:c r="P349" s="72"/>
      <x:c r="Q349" s="72"/>
      <x:c r="R349" s="72"/>
      <x:c r="S349" s="73"/>
    </x:row>
    <x:row r="350">
      <x:c r="A350" s="81"/>
      <x:c r="B350" s="72"/>
      <x:c r="C350" s="72"/>
      <x:c r="D350" s="72"/>
      <x:c r="E350" s="72"/>
      <x:c r="F350" s="72"/>
      <x:c r="G350" s="72"/>
      <x:c r="H350" s="72"/>
      <x:c r="I350" s="72"/>
      <x:c r="J350" s="72"/>
      <x:c r="K350" s="72"/>
      <x:c r="L350" s="72"/>
      <x:c r="M350" s="72"/>
      <x:c r="N350" s="72"/>
      <x:c r="O350" s="72"/>
      <x:c r="P350" s="72"/>
      <x:c r="Q350" s="72"/>
      <x:c r="R350" s="72"/>
      <x:c r="S350" s="73"/>
    </x:row>
    <x:row r="351">
      <x:c r="A351" s="81"/>
      <x:c r="B351" s="72"/>
      <x:c r="C351" s="72"/>
      <x:c r="D351" s="72"/>
      <x:c r="E351" s="72"/>
      <x:c r="F351" s="72"/>
      <x:c r="G351" s="72"/>
      <x:c r="H351" s="72"/>
      <x:c r="I351" s="72"/>
      <x:c r="J351" s="72"/>
      <x:c r="K351" s="72"/>
      <x:c r="L351" s="72"/>
      <x:c r="M351" s="72"/>
      <x:c r="N351" s="72"/>
      <x:c r="O351" s="72"/>
      <x:c r="P351" s="72"/>
      <x:c r="Q351" s="72"/>
      <x:c r="R351" s="72"/>
      <x:c r="S351" s="73"/>
    </x:row>
    <x:row r="352">
      <x:c r="A352" s="81"/>
      <x:c r="B352" s="72"/>
      <x:c r="C352" s="72"/>
      <x:c r="D352" s="72"/>
      <x:c r="E352" s="72"/>
      <x:c r="F352" s="72"/>
      <x:c r="G352" s="72"/>
      <x:c r="H352" s="72"/>
      <x:c r="I352" s="72"/>
      <x:c r="J352" s="72"/>
      <x:c r="K352" s="72"/>
      <x:c r="L352" s="72"/>
      <x:c r="M352" s="72"/>
      <x:c r="N352" s="72"/>
      <x:c r="O352" s="72"/>
      <x:c r="P352" s="72"/>
      <x:c r="Q352" s="72"/>
      <x:c r="R352" s="72"/>
      <x:c r="S352" s="73"/>
    </x:row>
    <x:row r="353">
      <x:c r="A353" s="81"/>
      <x:c r="B353" s="72"/>
      <x:c r="C353" s="72"/>
      <x:c r="D353" s="72"/>
      <x:c r="E353" s="72"/>
      <x:c r="F353" s="72"/>
      <x:c r="G353" s="72"/>
      <x:c r="H353" s="72"/>
      <x:c r="I353" s="72"/>
      <x:c r="J353" s="72"/>
      <x:c r="K353" s="72"/>
      <x:c r="L353" s="72"/>
      <x:c r="M353" s="72"/>
      <x:c r="N353" s="72"/>
      <x:c r="O353" s="72"/>
      <x:c r="P353" s="72"/>
      <x:c r="Q353" s="72"/>
      <x:c r="R353" s="72"/>
      <x:c r="S353" s="73"/>
    </x:row>
    <x:row r="354">
      <x:c r="A354" s="81"/>
      <x:c r="B354" s="72"/>
      <x:c r="C354" s="72"/>
      <x:c r="D354" s="72"/>
      <x:c r="E354" s="72"/>
      <x:c r="F354" s="72"/>
      <x:c r="G354" s="72"/>
      <x:c r="H354" s="72"/>
      <x:c r="I354" s="72"/>
      <x:c r="J354" s="72"/>
      <x:c r="K354" s="72"/>
      <x:c r="L354" s="72"/>
      <x:c r="M354" s="72"/>
      <x:c r="N354" s="72"/>
      <x:c r="O354" s="72"/>
      <x:c r="P354" s="72"/>
      <x:c r="Q354" s="72"/>
      <x:c r="R354" s="72"/>
      <x:c r="S354" s="73"/>
    </x:row>
    <x:row r="355">
      <x:c r="A355" s="81"/>
      <x:c r="B355" s="72"/>
      <x:c r="C355" s="72"/>
      <x:c r="D355" s="72"/>
      <x:c r="E355" s="72"/>
      <x:c r="F355" s="72"/>
      <x:c r="G355" s="72"/>
      <x:c r="H355" s="72"/>
      <x:c r="I355" s="72"/>
      <x:c r="J355" s="72"/>
      <x:c r="K355" s="72"/>
      <x:c r="L355" s="72"/>
      <x:c r="M355" s="72"/>
      <x:c r="N355" s="72"/>
      <x:c r="O355" s="72"/>
      <x:c r="P355" s="72"/>
      <x:c r="Q355" s="72"/>
      <x:c r="R355" s="72"/>
      <x:c r="S355" s="73"/>
    </x:row>
    <x:row r="356">
      <x:c r="A356" s="81"/>
      <x:c r="B356" s="72"/>
      <x:c r="C356" s="72"/>
      <x:c r="D356" s="72"/>
      <x:c r="E356" s="72"/>
      <x:c r="F356" s="72"/>
      <x:c r="G356" s="72"/>
      <x:c r="H356" s="72"/>
      <x:c r="I356" s="72"/>
      <x:c r="J356" s="72"/>
      <x:c r="K356" s="72"/>
      <x:c r="L356" s="72"/>
      <x:c r="M356" s="72"/>
      <x:c r="N356" s="72"/>
      <x:c r="O356" s="72"/>
      <x:c r="P356" s="72"/>
      <x:c r="Q356" s="72"/>
      <x:c r="R356" s="72"/>
      <x:c r="S356" s="73"/>
    </x:row>
    <x:row r="357">
      <x:c r="A357" s="81"/>
      <x:c r="B357" s="72"/>
      <x:c r="C357" s="72"/>
      <x:c r="D357" s="72"/>
      <x:c r="E357" s="72"/>
      <x:c r="F357" s="72"/>
      <x:c r="G357" s="72"/>
      <x:c r="H357" s="72"/>
      <x:c r="I357" s="72"/>
      <x:c r="J357" s="72"/>
      <x:c r="K357" s="72"/>
      <x:c r="L357" s="72"/>
      <x:c r="M357" s="72"/>
      <x:c r="N357" s="72"/>
      <x:c r="O357" s="72"/>
      <x:c r="P357" s="72"/>
      <x:c r="Q357" s="72"/>
      <x:c r="R357" s="72"/>
      <x:c r="S357" s="73"/>
    </x:row>
    <x:row r="358">
      <x:c r="A358" s="81"/>
      <x:c r="B358" s="72"/>
      <x:c r="C358" s="72"/>
      <x:c r="D358" s="72"/>
      <x:c r="E358" s="72"/>
      <x:c r="F358" s="72"/>
      <x:c r="G358" s="72"/>
      <x:c r="H358" s="72"/>
      <x:c r="I358" s="72"/>
      <x:c r="J358" s="72"/>
      <x:c r="K358" s="72"/>
      <x:c r="L358" s="72"/>
      <x:c r="M358" s="72"/>
      <x:c r="N358" s="72"/>
      <x:c r="O358" s="72"/>
      <x:c r="P358" s="72"/>
      <x:c r="Q358" s="72"/>
      <x:c r="R358" s="72"/>
      <x:c r="S358" s="73"/>
    </x:row>
    <x:row r="359">
      <x:c r="A359" s="81"/>
      <x:c r="B359" s="72"/>
      <x:c r="C359" s="72"/>
      <x:c r="D359" s="72"/>
      <x:c r="E359" s="72"/>
      <x:c r="F359" s="72"/>
      <x:c r="G359" s="72"/>
      <x:c r="H359" s="72"/>
      <x:c r="I359" s="72"/>
      <x:c r="J359" s="72"/>
      <x:c r="K359" s="72"/>
      <x:c r="L359" s="72"/>
      <x:c r="M359" s="72"/>
      <x:c r="N359" s="72"/>
      <x:c r="O359" s="72"/>
      <x:c r="P359" s="72"/>
      <x:c r="Q359" s="72"/>
      <x:c r="R359" s="72"/>
      <x:c r="S359" s="73"/>
    </x:row>
    <x:row r="360">
      <x:c r="A360" s="81"/>
      <x:c r="B360" s="72"/>
      <x:c r="C360" s="72"/>
      <x:c r="D360" s="72"/>
      <x:c r="E360" s="72"/>
      <x:c r="F360" s="72"/>
      <x:c r="G360" s="72"/>
      <x:c r="H360" s="72"/>
      <x:c r="I360" s="72"/>
      <x:c r="J360" s="72"/>
      <x:c r="K360" s="72"/>
      <x:c r="L360" s="72"/>
      <x:c r="M360" s="72"/>
      <x:c r="N360" s="72"/>
      <x:c r="O360" s="72"/>
      <x:c r="P360" s="72"/>
      <x:c r="Q360" s="72"/>
      <x:c r="R360" s="72"/>
      <x:c r="S360" s="73"/>
    </x:row>
    <x:row r="361">
      <x:c r="A361" s="81"/>
      <x:c r="B361" s="72"/>
      <x:c r="C361" s="72"/>
      <x:c r="D361" s="72"/>
      <x:c r="E361" s="72"/>
      <x:c r="F361" s="72"/>
      <x:c r="G361" s="72"/>
      <x:c r="H361" s="72"/>
      <x:c r="I361" s="72"/>
      <x:c r="J361" s="72"/>
      <x:c r="K361" s="72"/>
      <x:c r="L361" s="72"/>
      <x:c r="M361" s="72"/>
      <x:c r="N361" s="72"/>
      <x:c r="O361" s="72"/>
      <x:c r="P361" s="72"/>
      <x:c r="Q361" s="72"/>
      <x:c r="R361" s="72"/>
      <x:c r="S361" s="73"/>
    </x:row>
    <x:row r="362">
      <x:c r="A362" s="81"/>
      <x:c r="B362" s="72"/>
      <x:c r="C362" s="72"/>
      <x:c r="D362" s="72"/>
      <x:c r="E362" s="72"/>
      <x:c r="F362" s="72"/>
      <x:c r="G362" s="72"/>
      <x:c r="H362" s="72"/>
      <x:c r="I362" s="72"/>
      <x:c r="J362" s="72"/>
      <x:c r="K362" s="72"/>
      <x:c r="L362" s="72"/>
      <x:c r="M362" s="72"/>
      <x:c r="N362" s="72"/>
      <x:c r="O362" s="72"/>
      <x:c r="P362" s="72"/>
      <x:c r="Q362" s="72"/>
      <x:c r="R362" s="72"/>
      <x:c r="S362" s="73"/>
    </x:row>
    <x:row r="363">
      <x:c r="A363" s="81"/>
      <x:c r="B363" s="72"/>
      <x:c r="C363" s="72"/>
      <x:c r="D363" s="72"/>
      <x:c r="E363" s="72"/>
      <x:c r="F363" s="72"/>
      <x:c r="G363" s="72"/>
      <x:c r="H363" s="72"/>
      <x:c r="I363" s="72"/>
      <x:c r="J363" s="72"/>
      <x:c r="K363" s="72"/>
      <x:c r="L363" s="72"/>
      <x:c r="M363" s="72"/>
      <x:c r="N363" s="72"/>
      <x:c r="O363" s="72"/>
      <x:c r="P363" s="72"/>
      <x:c r="Q363" s="72"/>
      <x:c r="R363" s="72"/>
      <x:c r="S363" s="73"/>
    </x:row>
    <x:row r="364">
      <x:c r="A364" s="81"/>
      <x:c r="B364" s="72"/>
      <x:c r="C364" s="72"/>
      <x:c r="D364" s="72"/>
      <x:c r="E364" s="72"/>
      <x:c r="F364" s="72"/>
      <x:c r="G364" s="72"/>
      <x:c r="H364" s="72"/>
      <x:c r="I364" s="72"/>
      <x:c r="J364" s="72"/>
      <x:c r="K364" s="72"/>
      <x:c r="L364" s="72"/>
      <x:c r="M364" s="72"/>
      <x:c r="N364" s="72"/>
      <x:c r="O364" s="72"/>
      <x:c r="P364" s="72"/>
      <x:c r="Q364" s="72"/>
      <x:c r="R364" s="72"/>
      <x:c r="S364" s="73"/>
    </x:row>
    <x:row r="365">
      <x:c r="A365" s="81"/>
      <x:c r="B365" s="72"/>
      <x:c r="C365" s="72"/>
      <x:c r="D365" s="72"/>
      <x:c r="E365" s="72"/>
      <x:c r="F365" s="72"/>
      <x:c r="G365" s="72"/>
      <x:c r="H365" s="72"/>
      <x:c r="I365" s="72"/>
      <x:c r="J365" s="72"/>
      <x:c r="K365" s="72"/>
      <x:c r="L365" s="72"/>
      <x:c r="M365" s="72"/>
      <x:c r="N365" s="72"/>
      <x:c r="O365" s="72"/>
      <x:c r="P365" s="72"/>
      <x:c r="Q365" s="72"/>
      <x:c r="R365" s="72"/>
      <x:c r="S365" s="73"/>
    </x:row>
    <x:row r="366">
      <x:c r="A366" s="81"/>
      <x:c r="B366" s="72"/>
      <x:c r="C366" s="72"/>
      <x:c r="D366" s="72"/>
      <x:c r="E366" s="72"/>
      <x:c r="F366" s="72"/>
      <x:c r="G366" s="72"/>
      <x:c r="H366" s="72"/>
      <x:c r="I366" s="72"/>
      <x:c r="J366" s="72"/>
      <x:c r="K366" s="72"/>
      <x:c r="L366" s="72"/>
      <x:c r="M366" s="72"/>
      <x:c r="N366" s="72"/>
      <x:c r="O366" s="72"/>
      <x:c r="P366" s="72"/>
      <x:c r="Q366" s="72"/>
      <x:c r="R366" s="72"/>
      <x:c r="S366" s="73"/>
    </x:row>
    <x:row r="367">
      <x:c r="A367" s="81"/>
      <x:c r="B367" s="72"/>
      <x:c r="C367" s="72"/>
      <x:c r="D367" s="72"/>
      <x:c r="E367" s="72"/>
      <x:c r="F367" s="72"/>
      <x:c r="G367" s="72"/>
      <x:c r="H367" s="72"/>
      <x:c r="I367" s="72"/>
      <x:c r="J367" s="72"/>
      <x:c r="K367" s="72"/>
      <x:c r="L367" s="72"/>
      <x:c r="M367" s="72"/>
      <x:c r="N367" s="72"/>
      <x:c r="O367" s="72"/>
      <x:c r="P367" s="72"/>
      <x:c r="Q367" s="72"/>
      <x:c r="R367" s="72"/>
      <x:c r="S367" s="73"/>
    </x:row>
    <x:row r="368">
      <x:c r="A368" s="81"/>
      <x:c r="B368" s="72"/>
      <x:c r="C368" s="72"/>
      <x:c r="D368" s="72"/>
      <x:c r="E368" s="72"/>
      <x:c r="F368" s="72"/>
      <x:c r="G368" s="72"/>
      <x:c r="H368" s="72"/>
      <x:c r="I368" s="72"/>
      <x:c r="J368" s="72"/>
      <x:c r="K368" s="72"/>
      <x:c r="L368" s="72"/>
      <x:c r="M368" s="72"/>
      <x:c r="N368" s="72"/>
      <x:c r="O368" s="72"/>
      <x:c r="P368" s="72"/>
      <x:c r="Q368" s="72"/>
      <x:c r="R368" s="72"/>
      <x:c r="S368" s="73"/>
    </x:row>
    <x:row r="369">
      <x:c r="A369" s="81"/>
      <x:c r="B369" s="72"/>
      <x:c r="C369" s="72"/>
      <x:c r="D369" s="72"/>
      <x:c r="E369" s="72"/>
      <x:c r="F369" s="72"/>
      <x:c r="G369" s="72"/>
      <x:c r="H369" s="72"/>
      <x:c r="I369" s="72"/>
      <x:c r="J369" s="72"/>
      <x:c r="K369" s="72"/>
      <x:c r="L369" s="72"/>
      <x:c r="M369" s="72"/>
      <x:c r="N369" s="72"/>
      <x:c r="O369" s="72"/>
      <x:c r="P369" s="72"/>
      <x:c r="Q369" s="72"/>
      <x:c r="R369" s="72"/>
      <x:c r="S369" s="73"/>
    </x:row>
    <x:row r="370">
      <x:c r="A370" s="81"/>
      <x:c r="B370" s="72"/>
      <x:c r="C370" s="72"/>
      <x:c r="D370" s="72"/>
      <x:c r="E370" s="72"/>
      <x:c r="F370" s="72"/>
      <x:c r="G370" s="72"/>
      <x:c r="H370" s="72"/>
      <x:c r="I370" s="72"/>
      <x:c r="J370" s="72"/>
      <x:c r="K370" s="72"/>
      <x:c r="L370" s="72"/>
      <x:c r="M370" s="72"/>
      <x:c r="N370" s="72"/>
      <x:c r="O370" s="72"/>
      <x:c r="P370" s="72"/>
      <x:c r="Q370" s="72"/>
      <x:c r="R370" s="72"/>
      <x:c r="S370" s="73"/>
    </x:row>
    <x:row r="371">
      <x:c r="A371" s="81"/>
      <x:c r="B371" s="72"/>
      <x:c r="C371" s="72"/>
      <x:c r="D371" s="72"/>
      <x:c r="E371" s="72"/>
      <x:c r="F371" s="72"/>
      <x:c r="G371" s="72"/>
      <x:c r="H371" s="72"/>
      <x:c r="I371" s="72"/>
      <x:c r="J371" s="72"/>
      <x:c r="K371" s="72"/>
      <x:c r="L371" s="72"/>
      <x:c r="M371" s="72"/>
      <x:c r="N371" s="72"/>
      <x:c r="O371" s="72"/>
      <x:c r="P371" s="72"/>
      <x:c r="Q371" s="72"/>
      <x:c r="R371" s="72"/>
      <x:c r="S371" s="73"/>
    </x:row>
    <x:row r="372">
      <x:c r="A372" s="81"/>
      <x:c r="B372" s="72"/>
      <x:c r="C372" s="72"/>
      <x:c r="D372" s="72"/>
      <x:c r="E372" s="72"/>
      <x:c r="F372" s="72"/>
      <x:c r="G372" s="72"/>
      <x:c r="H372" s="72"/>
      <x:c r="I372" s="72"/>
      <x:c r="J372" s="72"/>
      <x:c r="K372" s="72"/>
      <x:c r="L372" s="72"/>
      <x:c r="M372" s="72"/>
      <x:c r="N372" s="72"/>
      <x:c r="O372" s="72"/>
      <x:c r="P372" s="72"/>
      <x:c r="Q372" s="72"/>
      <x:c r="R372" s="72"/>
      <x:c r="S372" s="73"/>
    </x:row>
    <x:row r="373">
      <x:c r="A373" s="81"/>
      <x:c r="B373" s="72"/>
      <x:c r="C373" s="72"/>
      <x:c r="D373" s="72"/>
      <x:c r="E373" s="72"/>
      <x:c r="F373" s="72"/>
      <x:c r="G373" s="72"/>
      <x:c r="H373" s="72"/>
      <x:c r="I373" s="72"/>
      <x:c r="J373" s="72"/>
      <x:c r="K373" s="72"/>
      <x:c r="L373" s="72"/>
      <x:c r="M373" s="72"/>
      <x:c r="N373" s="72"/>
      <x:c r="O373" s="72"/>
      <x:c r="P373" s="72"/>
      <x:c r="Q373" s="72"/>
      <x:c r="R373" s="72"/>
      <x:c r="S373" s="73"/>
    </x:row>
    <x:row r="374">
      <x:c r="A374" s="81"/>
      <x:c r="B374" s="72"/>
      <x:c r="C374" s="72"/>
      <x:c r="D374" s="72"/>
      <x:c r="E374" s="72"/>
      <x:c r="F374" s="72"/>
      <x:c r="G374" s="72"/>
      <x:c r="H374" s="72"/>
      <x:c r="I374" s="72"/>
      <x:c r="J374" s="72"/>
      <x:c r="K374" s="72"/>
      <x:c r="L374" s="72"/>
      <x:c r="M374" s="72"/>
      <x:c r="N374" s="72"/>
      <x:c r="O374" s="72"/>
      <x:c r="P374" s="72"/>
      <x:c r="Q374" s="72"/>
      <x:c r="R374" s="72"/>
      <x:c r="S374" s="73"/>
    </x:row>
    <x:row r="375">
      <x:c r="A375" s="81"/>
      <x:c r="B375" s="72"/>
      <x:c r="C375" s="72"/>
      <x:c r="D375" s="72"/>
      <x:c r="E375" s="72"/>
      <x:c r="F375" s="72"/>
      <x:c r="G375" s="72"/>
      <x:c r="H375" s="72"/>
      <x:c r="I375" s="72"/>
      <x:c r="J375" s="72"/>
      <x:c r="K375" s="72"/>
      <x:c r="L375" s="72"/>
      <x:c r="M375" s="72"/>
      <x:c r="N375" s="72"/>
      <x:c r="O375" s="72"/>
      <x:c r="P375" s="72"/>
      <x:c r="Q375" s="72"/>
      <x:c r="R375" s="72"/>
      <x:c r="S375" s="73"/>
    </x:row>
    <x:row r="376">
      <x:c r="A376" s="81"/>
      <x:c r="B376" s="72"/>
      <x:c r="C376" s="72"/>
      <x:c r="D376" s="72"/>
      <x:c r="E376" s="72"/>
      <x:c r="F376" s="72"/>
      <x:c r="G376" s="72"/>
      <x:c r="H376" s="72"/>
      <x:c r="I376" s="72"/>
      <x:c r="J376" s="72"/>
      <x:c r="K376" s="72"/>
      <x:c r="L376" s="72"/>
      <x:c r="M376" s="72"/>
      <x:c r="N376" s="72"/>
      <x:c r="O376" s="72"/>
      <x:c r="P376" s="72"/>
      <x:c r="Q376" s="72"/>
      <x:c r="R376" s="72"/>
      <x:c r="S376" s="73"/>
    </x:row>
    <x:row r="377">
      <x:c r="A377" s="81"/>
      <x:c r="B377" s="72"/>
      <x:c r="C377" s="72"/>
      <x:c r="D377" s="72"/>
      <x:c r="E377" s="72"/>
      <x:c r="F377" s="72"/>
      <x:c r="G377" s="72"/>
      <x:c r="H377" s="72"/>
      <x:c r="I377" s="72"/>
      <x:c r="J377" s="72"/>
      <x:c r="K377" s="72"/>
      <x:c r="L377" s="72"/>
      <x:c r="M377" s="72"/>
      <x:c r="N377" s="72"/>
      <x:c r="O377" s="72"/>
      <x:c r="P377" s="72"/>
      <x:c r="Q377" s="72"/>
      <x:c r="R377" s="72"/>
      <x:c r="S377" s="73"/>
    </x:row>
    <x:row r="378">
      <x:c r="A378" s="81"/>
      <x:c r="B378" s="72"/>
      <x:c r="C378" s="72"/>
      <x:c r="D378" s="72"/>
      <x:c r="E378" s="72"/>
      <x:c r="F378" s="72"/>
      <x:c r="G378" s="72"/>
      <x:c r="H378" s="72"/>
      <x:c r="I378" s="72"/>
      <x:c r="J378" s="72"/>
      <x:c r="K378" s="72"/>
      <x:c r="L378" s="72"/>
      <x:c r="M378" s="72"/>
      <x:c r="N378" s="72"/>
      <x:c r="O378" s="72"/>
      <x:c r="P378" s="72"/>
      <x:c r="Q378" s="72"/>
      <x:c r="R378" s="72"/>
      <x:c r="S378" s="73"/>
    </x:row>
    <x:row r="379">
      <x:c r="A379" s="81"/>
      <x:c r="B379" s="72"/>
      <x:c r="C379" s="72"/>
      <x:c r="D379" s="72"/>
      <x:c r="E379" s="72"/>
      <x:c r="F379" s="72"/>
      <x:c r="G379" s="72"/>
      <x:c r="H379" s="72"/>
      <x:c r="I379" s="72"/>
      <x:c r="J379" s="72"/>
      <x:c r="K379" s="72"/>
      <x:c r="L379" s="72"/>
      <x:c r="M379" s="72"/>
      <x:c r="N379" s="72"/>
      <x:c r="O379" s="72"/>
      <x:c r="P379" s="72"/>
      <x:c r="Q379" s="72"/>
      <x:c r="R379" s="72"/>
      <x:c r="S379" s="73"/>
    </x:row>
    <x:row r="380">
      <x:c r="A380" s="81"/>
      <x:c r="B380" s="72"/>
      <x:c r="C380" s="72"/>
      <x:c r="D380" s="72"/>
      <x:c r="E380" s="72"/>
      <x:c r="F380" s="72"/>
      <x:c r="G380" s="72"/>
      <x:c r="H380" s="72"/>
      <x:c r="I380" s="72"/>
      <x:c r="J380" s="72"/>
      <x:c r="K380" s="72"/>
      <x:c r="L380" s="72"/>
      <x:c r="M380" s="72"/>
      <x:c r="N380" s="72"/>
      <x:c r="O380" s="72"/>
      <x:c r="P380" s="72"/>
      <x:c r="Q380" s="72"/>
      <x:c r="R380" s="72"/>
      <x:c r="S380" s="73"/>
    </x:row>
    <x:row r="381">
      <x:c r="A381" s="81"/>
      <x:c r="B381" s="72"/>
      <x:c r="C381" s="72"/>
      <x:c r="D381" s="72"/>
      <x:c r="E381" s="72"/>
      <x:c r="F381" s="72"/>
      <x:c r="G381" s="72"/>
      <x:c r="H381" s="72"/>
      <x:c r="I381" s="72"/>
      <x:c r="J381" s="72"/>
      <x:c r="K381" s="72"/>
      <x:c r="L381" s="72"/>
      <x:c r="M381" s="72"/>
      <x:c r="N381" s="72"/>
      <x:c r="O381" s="72"/>
      <x:c r="P381" s="72"/>
      <x:c r="Q381" s="72"/>
      <x:c r="R381" s="72"/>
      <x:c r="S381" s="73"/>
    </x:row>
    <x:row r="382">
      <x:c r="A382" s="81"/>
      <x:c r="B382" s="72"/>
      <x:c r="C382" s="72"/>
      <x:c r="D382" s="72"/>
      <x:c r="E382" s="72"/>
      <x:c r="F382" s="72"/>
      <x:c r="G382" s="72"/>
      <x:c r="H382" s="72"/>
      <x:c r="I382" s="72"/>
      <x:c r="J382" s="72"/>
      <x:c r="K382" s="72"/>
      <x:c r="L382" s="72"/>
      <x:c r="M382" s="72"/>
      <x:c r="N382" s="72"/>
      <x:c r="O382" s="72"/>
      <x:c r="P382" s="72"/>
      <x:c r="Q382" s="72"/>
      <x:c r="R382" s="72"/>
      <x:c r="S382" s="73"/>
    </x:row>
    <x:row r="383">
      <x:c r="A383" s="81"/>
      <x:c r="B383" s="72"/>
      <x:c r="C383" s="72"/>
      <x:c r="D383" s="72"/>
      <x:c r="E383" s="72"/>
      <x:c r="F383" s="72"/>
      <x:c r="G383" s="72"/>
      <x:c r="H383" s="72"/>
      <x:c r="I383" s="72"/>
      <x:c r="J383" s="72"/>
      <x:c r="K383" s="72"/>
      <x:c r="L383" s="72"/>
      <x:c r="M383" s="72"/>
      <x:c r="N383" s="72"/>
      <x:c r="O383" s="72"/>
      <x:c r="P383" s="72"/>
      <x:c r="Q383" s="72"/>
      <x:c r="R383" s="72"/>
      <x:c r="S383" s="73"/>
    </x:row>
    <x:row r="384">
      <x:c r="A384" s="81"/>
      <x:c r="B384" s="72"/>
      <x:c r="C384" s="72"/>
      <x:c r="D384" s="72"/>
      <x:c r="E384" s="72"/>
      <x:c r="F384" s="72"/>
      <x:c r="G384" s="72"/>
      <x:c r="H384" s="72"/>
      <x:c r="I384" s="72"/>
      <x:c r="J384" s="72"/>
      <x:c r="K384" s="72"/>
      <x:c r="L384" s="72"/>
      <x:c r="M384" s="72"/>
      <x:c r="N384" s="72"/>
      <x:c r="O384" s="72"/>
      <x:c r="P384" s="72"/>
      <x:c r="Q384" s="72"/>
      <x:c r="R384" s="72"/>
      <x:c r="S384" s="73"/>
    </x:row>
    <x:row r="385">
      <x:c r="A385" s="81"/>
      <x:c r="B385" s="72"/>
      <x:c r="C385" s="72"/>
      <x:c r="D385" s="72"/>
      <x:c r="E385" s="72"/>
      <x:c r="F385" s="72"/>
      <x:c r="G385" s="72"/>
      <x:c r="H385" s="72"/>
      <x:c r="I385" s="72"/>
      <x:c r="J385" s="72"/>
      <x:c r="K385" s="72"/>
      <x:c r="L385" s="72"/>
      <x:c r="M385" s="72"/>
      <x:c r="N385" s="72"/>
      <x:c r="O385" s="72"/>
      <x:c r="P385" s="72"/>
      <x:c r="Q385" s="72"/>
      <x:c r="R385" s="72"/>
      <x:c r="S385" s="73"/>
    </x:row>
    <x:row r="386">
      <x:c r="A386" s="81"/>
      <x:c r="B386" s="72"/>
      <x:c r="C386" s="72"/>
      <x:c r="D386" s="72"/>
      <x:c r="E386" s="72"/>
      <x:c r="F386" s="72"/>
      <x:c r="G386" s="72"/>
      <x:c r="H386" s="72"/>
      <x:c r="I386" s="72"/>
      <x:c r="J386" s="72"/>
      <x:c r="K386" s="72"/>
      <x:c r="L386" s="72"/>
      <x:c r="M386" s="72"/>
      <x:c r="N386" s="72"/>
      <x:c r="O386" s="72"/>
      <x:c r="P386" s="72"/>
      <x:c r="Q386" s="72"/>
      <x:c r="R386" s="72"/>
      <x:c r="S386" s="73"/>
    </x:row>
    <x:row r="387">
      <x:c r="A387" s="81"/>
      <x:c r="B387" s="72"/>
      <x:c r="C387" s="72"/>
      <x:c r="D387" s="72"/>
      <x:c r="E387" s="72"/>
      <x:c r="F387" s="72"/>
      <x:c r="G387" s="72"/>
      <x:c r="H387" s="72"/>
      <x:c r="I387" s="72"/>
      <x:c r="J387" s="72"/>
      <x:c r="K387" s="72"/>
      <x:c r="L387" s="72"/>
      <x:c r="M387" s="72"/>
      <x:c r="N387" s="72"/>
      <x:c r="O387" s="72"/>
      <x:c r="P387" s="72"/>
      <x:c r="Q387" s="72"/>
      <x:c r="R387" s="72"/>
      <x:c r="S387" s="73"/>
    </x:row>
    <x:row r="388">
      <x:c r="A388" s="81"/>
      <x:c r="B388" s="72"/>
      <x:c r="C388" s="72"/>
      <x:c r="D388" s="72"/>
      <x:c r="E388" s="72"/>
      <x:c r="F388" s="72"/>
      <x:c r="G388" s="72"/>
      <x:c r="H388" s="72"/>
      <x:c r="I388" s="72"/>
      <x:c r="J388" s="72"/>
      <x:c r="K388" s="72"/>
      <x:c r="L388" s="72"/>
      <x:c r="M388" s="72"/>
      <x:c r="N388" s="72"/>
      <x:c r="O388" s="72"/>
      <x:c r="P388" s="72"/>
      <x:c r="Q388" s="72"/>
      <x:c r="R388" s="72"/>
      <x:c r="S388" s="73"/>
    </x:row>
    <x:row r="389">
      <x:c r="A389" s="81"/>
      <x:c r="B389" s="72"/>
      <x:c r="C389" s="72"/>
      <x:c r="D389" s="72"/>
      <x:c r="E389" s="72"/>
      <x:c r="F389" s="72"/>
      <x:c r="G389" s="72"/>
      <x:c r="H389" s="72"/>
      <x:c r="I389" s="72"/>
      <x:c r="J389" s="72"/>
      <x:c r="K389" s="72"/>
      <x:c r="L389" s="72"/>
      <x:c r="M389" s="72"/>
      <x:c r="N389" s="72"/>
      <x:c r="O389" s="72"/>
      <x:c r="P389" s="72"/>
      <x:c r="Q389" s="72"/>
      <x:c r="R389" s="72"/>
      <x:c r="S389" s="73"/>
    </x:row>
    <x:row r="390">
      <x:c r="A390" s="81"/>
      <x:c r="B390" s="72"/>
      <x:c r="C390" s="72"/>
      <x:c r="D390" s="72"/>
      <x:c r="E390" s="72"/>
      <x:c r="F390" s="72"/>
      <x:c r="G390" s="72"/>
      <x:c r="H390" s="72"/>
      <x:c r="I390" s="72"/>
      <x:c r="J390" s="72"/>
      <x:c r="K390" s="72"/>
      <x:c r="L390" s="72"/>
      <x:c r="M390" s="72"/>
      <x:c r="N390" s="72"/>
      <x:c r="O390" s="72"/>
      <x:c r="P390" s="72"/>
      <x:c r="Q390" s="72"/>
      <x:c r="R390" s="72"/>
      <x:c r="S390" s="73"/>
    </x:row>
    <x:row r="391">
      <x:c r="A391" s="81"/>
      <x:c r="B391" s="72"/>
      <x:c r="C391" s="72"/>
      <x:c r="D391" s="72"/>
      <x:c r="E391" s="72"/>
      <x:c r="F391" s="72"/>
      <x:c r="G391" s="72"/>
      <x:c r="H391" s="72"/>
      <x:c r="I391" s="72"/>
      <x:c r="J391" s="72"/>
      <x:c r="K391" s="72"/>
      <x:c r="L391" s="72"/>
      <x:c r="M391" s="72"/>
      <x:c r="N391" s="72"/>
      <x:c r="O391" s="72"/>
      <x:c r="P391" s="72"/>
      <x:c r="Q391" s="72"/>
      <x:c r="R391" s="72"/>
      <x:c r="S391" s="73"/>
    </x:row>
    <x:row r="392">
      <x:c r="A392" s="81"/>
      <x:c r="B392" s="72"/>
      <x:c r="C392" s="72"/>
      <x:c r="D392" s="72"/>
      <x:c r="E392" s="72"/>
      <x:c r="F392" s="72"/>
      <x:c r="G392" s="72"/>
      <x:c r="H392" s="72"/>
      <x:c r="I392" s="72"/>
      <x:c r="J392" s="72"/>
      <x:c r="K392" s="72"/>
      <x:c r="L392" s="72"/>
      <x:c r="M392" s="72"/>
      <x:c r="N392" s="72"/>
      <x:c r="O392" s="72"/>
      <x:c r="P392" s="72"/>
      <x:c r="Q392" s="72"/>
      <x:c r="R392" s="72"/>
      <x:c r="S392" s="73"/>
    </x:row>
    <x:row r="393">
      <x:c r="A393" s="81"/>
      <x:c r="B393" s="72"/>
      <x:c r="C393" s="72"/>
      <x:c r="D393" s="72"/>
      <x:c r="E393" s="72"/>
      <x:c r="F393" s="72"/>
      <x:c r="G393" s="72"/>
      <x:c r="H393" s="72"/>
      <x:c r="I393" s="72"/>
      <x:c r="J393" s="72"/>
      <x:c r="K393" s="72"/>
      <x:c r="L393" s="72"/>
      <x:c r="M393" s="72"/>
      <x:c r="N393" s="72"/>
      <x:c r="O393" s="72"/>
      <x:c r="P393" s="72"/>
      <x:c r="Q393" s="72"/>
      <x:c r="R393" s="72"/>
      <x:c r="S393" s="73"/>
    </x:row>
    <x:row r="394">
      <x:c r="A394" s="81"/>
      <x:c r="B394" s="72"/>
      <x:c r="C394" s="72"/>
      <x:c r="D394" s="72"/>
      <x:c r="E394" s="72"/>
      <x:c r="F394" s="72"/>
      <x:c r="G394" s="72"/>
      <x:c r="H394" s="72"/>
      <x:c r="I394" s="72"/>
      <x:c r="J394" s="72"/>
      <x:c r="K394" s="72"/>
      <x:c r="L394" s="72"/>
      <x:c r="M394" s="72"/>
      <x:c r="N394" s="72"/>
      <x:c r="O394" s="72"/>
      <x:c r="P394" s="72"/>
      <x:c r="Q394" s="72"/>
      <x:c r="R394" s="72"/>
      <x:c r="S394" s="73"/>
    </x:row>
    <x:row r="395">
      <x:c r="A395" s="81"/>
      <x:c r="B395" s="72"/>
      <x:c r="C395" s="72"/>
      <x:c r="D395" s="72"/>
      <x:c r="E395" s="72"/>
      <x:c r="F395" s="72"/>
      <x:c r="G395" s="72"/>
      <x:c r="H395" s="72"/>
      <x:c r="I395" s="72"/>
      <x:c r="J395" s="72"/>
      <x:c r="K395" s="72"/>
      <x:c r="L395" s="72"/>
      <x:c r="M395" s="72"/>
      <x:c r="N395" s="72"/>
      <x:c r="O395" s="72"/>
      <x:c r="P395" s="72"/>
      <x:c r="Q395" s="72"/>
      <x:c r="R395" s="72"/>
      <x:c r="S395" s="73"/>
    </x:row>
    <x:row r="396">
      <x:c r="A396" s="81"/>
      <x:c r="B396" s="72"/>
      <x:c r="C396" s="72"/>
      <x:c r="D396" s="72"/>
      <x:c r="E396" s="72"/>
      <x:c r="F396" s="72"/>
      <x:c r="G396" s="72"/>
      <x:c r="H396" s="72"/>
      <x:c r="I396" s="72"/>
      <x:c r="J396" s="72"/>
      <x:c r="K396" s="72"/>
      <x:c r="L396" s="72"/>
      <x:c r="M396" s="72"/>
      <x:c r="N396" s="72"/>
      <x:c r="O396" s="72"/>
      <x:c r="P396" s="72"/>
      <x:c r="Q396" s="72"/>
      <x:c r="R396" s="72"/>
      <x:c r="S396" s="73"/>
    </x:row>
    <x:row r="397">
      <x:c r="A397" s="81"/>
      <x:c r="B397" s="72"/>
      <x:c r="C397" s="72"/>
      <x:c r="D397" s="72"/>
      <x:c r="E397" s="72"/>
      <x:c r="F397" s="72"/>
      <x:c r="G397" s="72"/>
      <x:c r="H397" s="72"/>
      <x:c r="I397" s="72"/>
      <x:c r="J397" s="72"/>
      <x:c r="K397" s="72"/>
      <x:c r="L397" s="72"/>
      <x:c r="M397" s="72"/>
      <x:c r="N397" s="72"/>
      <x:c r="O397" s="72"/>
      <x:c r="P397" s="72"/>
      <x:c r="Q397" s="72"/>
      <x:c r="R397" s="72"/>
      <x:c r="S397" s="73"/>
    </x:row>
    <x:row r="398">
      <x:c r="A398" s="81"/>
      <x:c r="B398" s="72"/>
      <x:c r="C398" s="72"/>
      <x:c r="D398" s="72"/>
      <x:c r="E398" s="72"/>
      <x:c r="F398" s="72"/>
      <x:c r="G398" s="72"/>
      <x:c r="H398" s="72"/>
      <x:c r="I398" s="72"/>
      <x:c r="J398" s="72"/>
      <x:c r="K398" s="72"/>
      <x:c r="L398" s="72"/>
      <x:c r="M398" s="72"/>
      <x:c r="N398" s="72"/>
      <x:c r="O398" s="72"/>
      <x:c r="P398" s="72"/>
      <x:c r="Q398" s="72"/>
      <x:c r="R398" s="72"/>
      <x:c r="S398" s="73"/>
    </x:row>
    <x:row r="399">
      <x:c r="A399" s="81"/>
      <x:c r="B399" s="72"/>
      <x:c r="C399" s="72"/>
      <x:c r="D399" s="72"/>
      <x:c r="E399" s="72"/>
      <x:c r="F399" s="72"/>
      <x:c r="G399" s="72"/>
      <x:c r="H399" s="72"/>
      <x:c r="I399" s="72"/>
      <x:c r="J399" s="72"/>
      <x:c r="K399" s="72"/>
      <x:c r="L399" s="72"/>
      <x:c r="M399" s="72"/>
      <x:c r="N399" s="72"/>
      <x:c r="O399" s="72"/>
      <x:c r="P399" s="72"/>
      <x:c r="Q399" s="72"/>
      <x:c r="R399" s="72"/>
      <x:c r="S399" s="73"/>
    </x:row>
    <x:row r="400">
      <x:c r="A400" s="81"/>
      <x:c r="B400" s="72"/>
      <x:c r="C400" s="72"/>
      <x:c r="D400" s="72"/>
      <x:c r="E400" s="72"/>
      <x:c r="F400" s="72"/>
      <x:c r="G400" s="72"/>
      <x:c r="H400" s="72"/>
      <x:c r="I400" s="72"/>
      <x:c r="J400" s="72"/>
      <x:c r="K400" s="72"/>
      <x:c r="L400" s="72"/>
      <x:c r="M400" s="72"/>
      <x:c r="N400" s="72"/>
      <x:c r="O400" s="72"/>
      <x:c r="P400" s="72"/>
      <x:c r="Q400" s="72"/>
      <x:c r="R400" s="72"/>
      <x:c r="S400" s="73"/>
    </x:row>
    <x:row r="401">
      <x:c r="A401" s="81"/>
      <x:c r="B401" s="72"/>
      <x:c r="C401" s="72"/>
      <x:c r="D401" s="72"/>
      <x:c r="E401" s="72"/>
      <x:c r="F401" s="72"/>
      <x:c r="G401" s="72"/>
      <x:c r="H401" s="72"/>
      <x:c r="I401" s="72"/>
      <x:c r="J401" s="72"/>
      <x:c r="K401" s="72"/>
      <x:c r="L401" s="72"/>
      <x:c r="M401" s="72"/>
      <x:c r="N401" s="72"/>
      <x:c r="O401" s="72"/>
      <x:c r="P401" s="72"/>
      <x:c r="Q401" s="72"/>
      <x:c r="R401" s="72"/>
      <x:c r="S401" s="73"/>
    </x:row>
    <x:row r="402">
      <x:c r="A402" s="81"/>
      <x:c r="B402" s="72"/>
      <x:c r="C402" s="72"/>
      <x:c r="D402" s="72"/>
      <x:c r="E402" s="72"/>
      <x:c r="F402" s="72"/>
      <x:c r="G402" s="72"/>
      <x:c r="H402" s="72"/>
      <x:c r="I402" s="72"/>
      <x:c r="J402" s="72"/>
      <x:c r="K402" s="72"/>
      <x:c r="L402" s="72"/>
      <x:c r="M402" s="72"/>
      <x:c r="N402" s="72"/>
      <x:c r="O402" s="72"/>
      <x:c r="P402" s="72"/>
      <x:c r="Q402" s="72"/>
      <x:c r="R402" s="72"/>
      <x:c r="S402" s="73"/>
    </x:row>
    <x:row r="403">
      <x:c r="A403" s="81"/>
      <x:c r="B403" s="72"/>
      <x:c r="C403" s="72"/>
      <x:c r="D403" s="72"/>
      <x:c r="E403" s="72"/>
      <x:c r="F403" s="72"/>
      <x:c r="G403" s="72"/>
      <x:c r="H403" s="72"/>
      <x:c r="I403" s="72"/>
      <x:c r="J403" s="72"/>
      <x:c r="K403" s="72"/>
      <x:c r="L403" s="72"/>
      <x:c r="M403" s="72"/>
      <x:c r="N403" s="72"/>
      <x:c r="O403" s="72"/>
      <x:c r="P403" s="72"/>
      <x:c r="Q403" s="72"/>
      <x:c r="R403" s="72"/>
      <x:c r="S403" s="73"/>
    </x:row>
    <x:row r="404">
      <x:c r="A404" s="81"/>
      <x:c r="B404" s="72"/>
      <x:c r="C404" s="72"/>
      <x:c r="D404" s="72"/>
      <x:c r="E404" s="72"/>
      <x:c r="F404" s="72"/>
      <x:c r="G404" s="72"/>
      <x:c r="H404" s="72"/>
      <x:c r="I404" s="72"/>
      <x:c r="J404" s="72"/>
      <x:c r="K404" s="72"/>
      <x:c r="L404" s="72"/>
      <x:c r="M404" s="72"/>
      <x:c r="N404" s="72"/>
      <x:c r="O404" s="72"/>
      <x:c r="P404" s="72"/>
      <x:c r="Q404" s="72"/>
      <x:c r="R404" s="72"/>
      <x:c r="S404" s="73"/>
    </x:row>
    <x:row r="405">
      <x:c r="A405" s="81"/>
      <x:c r="B405" s="72"/>
      <x:c r="C405" s="72"/>
      <x:c r="D405" s="72"/>
      <x:c r="E405" s="72"/>
      <x:c r="F405" s="72"/>
      <x:c r="G405" s="72"/>
      <x:c r="H405" s="72"/>
      <x:c r="I405" s="72"/>
      <x:c r="J405" s="72"/>
      <x:c r="K405" s="72"/>
      <x:c r="L405" s="72"/>
      <x:c r="M405" s="72"/>
      <x:c r="N405" s="72"/>
      <x:c r="O405" s="72"/>
      <x:c r="P405" s="72"/>
      <x:c r="Q405" s="72"/>
      <x:c r="R405" s="72"/>
      <x:c r="S405" s="73"/>
    </x:row>
    <x:row r="406">
      <x:c r="A406" s="81"/>
      <x:c r="B406" s="72"/>
      <x:c r="C406" s="72"/>
      <x:c r="D406" s="72"/>
      <x:c r="E406" s="72"/>
      <x:c r="F406" s="72"/>
      <x:c r="G406" s="72"/>
      <x:c r="H406" s="72"/>
      <x:c r="I406" s="72"/>
      <x:c r="J406" s="72"/>
      <x:c r="K406" s="72"/>
      <x:c r="L406" s="72"/>
      <x:c r="M406" s="72"/>
      <x:c r="N406" s="72"/>
      <x:c r="O406" s="72"/>
      <x:c r="P406" s="72"/>
      <x:c r="Q406" s="72"/>
      <x:c r="R406" s="72"/>
      <x:c r="S406" s="73"/>
    </x:row>
    <x:row r="407">
      <x:c r="A407" s="81"/>
      <x:c r="B407" s="72"/>
      <x:c r="C407" s="72"/>
      <x:c r="D407" s="72"/>
      <x:c r="E407" s="72"/>
      <x:c r="F407" s="72"/>
      <x:c r="G407" s="72"/>
      <x:c r="H407" s="72"/>
      <x:c r="I407" s="72"/>
      <x:c r="J407" s="72"/>
      <x:c r="K407" s="72"/>
      <x:c r="L407" s="72"/>
      <x:c r="M407" s="72"/>
      <x:c r="N407" s="72"/>
      <x:c r="O407" s="72"/>
      <x:c r="P407" s="72"/>
      <x:c r="Q407" s="72"/>
      <x:c r="R407" s="72"/>
      <x:c r="S407" s="73"/>
    </x:row>
    <x:row r="408">
      <x:c r="A408" s="81"/>
      <x:c r="B408" s="72"/>
      <x:c r="C408" s="72"/>
      <x:c r="D408" s="72"/>
      <x:c r="E408" s="72"/>
      <x:c r="F408" s="72"/>
      <x:c r="G408" s="72"/>
      <x:c r="H408" s="72"/>
      <x:c r="I408" s="72"/>
      <x:c r="J408" s="72"/>
      <x:c r="K408" s="72"/>
      <x:c r="L408" s="72"/>
      <x:c r="M408" s="72"/>
      <x:c r="N408" s="72"/>
      <x:c r="O408" s="72"/>
      <x:c r="P408" s="72"/>
      <x:c r="Q408" s="72"/>
      <x:c r="R408" s="72"/>
      <x:c r="S408" s="73"/>
    </x:row>
    <x:row r="409">
      <x:c r="A409" s="81"/>
      <x:c r="B409" s="72"/>
      <x:c r="C409" s="72"/>
      <x:c r="D409" s="72"/>
      <x:c r="E409" s="72"/>
      <x:c r="F409" s="72"/>
      <x:c r="G409" s="72"/>
      <x:c r="H409" s="72"/>
      <x:c r="I409" s="72"/>
      <x:c r="J409" s="72"/>
      <x:c r="K409" s="72"/>
      <x:c r="L409" s="72"/>
      <x:c r="M409" s="72"/>
      <x:c r="N409" s="72"/>
      <x:c r="O409" s="72"/>
      <x:c r="P409" s="72"/>
      <x:c r="Q409" s="72"/>
      <x:c r="R409" s="72"/>
      <x:c r="S409" s="73"/>
    </x:row>
    <x:row r="410">
      <x:c r="A410" s="81"/>
      <x:c r="B410" s="72"/>
      <x:c r="C410" s="72"/>
      <x:c r="D410" s="72"/>
      <x:c r="E410" s="72"/>
      <x:c r="F410" s="72"/>
      <x:c r="G410" s="72"/>
      <x:c r="H410" s="72"/>
      <x:c r="I410" s="72"/>
      <x:c r="J410" s="72"/>
      <x:c r="K410" s="72"/>
      <x:c r="L410" s="72"/>
      <x:c r="M410" s="72"/>
      <x:c r="N410" s="72"/>
      <x:c r="O410" s="72"/>
      <x:c r="P410" s="72"/>
      <x:c r="Q410" s="72"/>
      <x:c r="R410" s="72"/>
      <x:c r="S410" s="73"/>
    </x:row>
    <x:row r="411">
      <x:c r="A411" s="81"/>
      <x:c r="B411" s="72"/>
      <x:c r="C411" s="72"/>
      <x:c r="D411" s="72"/>
      <x:c r="E411" s="72"/>
      <x:c r="F411" s="72"/>
      <x:c r="G411" s="72"/>
      <x:c r="H411" s="72"/>
      <x:c r="I411" s="72"/>
      <x:c r="J411" s="72"/>
      <x:c r="K411" s="72"/>
      <x:c r="L411" s="72"/>
      <x:c r="M411" s="72"/>
      <x:c r="N411" s="72"/>
      <x:c r="O411" s="72"/>
      <x:c r="P411" s="72"/>
      <x:c r="Q411" s="72"/>
      <x:c r="R411" s="72"/>
      <x:c r="S411" s="73"/>
    </x:row>
    <x:row r="412">
      <x:c r="A412" s="81"/>
      <x:c r="B412" s="72"/>
      <x:c r="C412" s="72"/>
      <x:c r="D412" s="72"/>
      <x:c r="E412" s="72"/>
      <x:c r="F412" s="72"/>
      <x:c r="G412" s="72"/>
      <x:c r="H412" s="72"/>
      <x:c r="I412" s="72"/>
      <x:c r="J412" s="72"/>
      <x:c r="K412" s="72"/>
      <x:c r="L412" s="72"/>
      <x:c r="M412" s="72"/>
      <x:c r="N412" s="72"/>
      <x:c r="O412" s="72"/>
      <x:c r="P412" s="72"/>
      <x:c r="Q412" s="72"/>
      <x:c r="R412" s="72"/>
      <x:c r="S412" s="73"/>
    </x:row>
    <x:row r="413">
      <x:c r="A413" s="81"/>
      <x:c r="B413" s="72"/>
      <x:c r="C413" s="72"/>
      <x:c r="D413" s="72"/>
      <x:c r="E413" s="72"/>
      <x:c r="F413" s="72"/>
      <x:c r="G413" s="72"/>
      <x:c r="H413" s="72"/>
      <x:c r="I413" s="72"/>
      <x:c r="J413" s="72"/>
      <x:c r="K413" s="72"/>
      <x:c r="L413" s="72"/>
      <x:c r="M413" s="72"/>
      <x:c r="N413" s="72"/>
      <x:c r="O413" s="72"/>
      <x:c r="P413" s="72"/>
      <x:c r="Q413" s="72"/>
      <x:c r="R413" s="72"/>
      <x:c r="S413" s="73"/>
    </x:row>
    <x:row r="414">
      <x:c r="A414" s="81"/>
      <x:c r="B414" s="72"/>
      <x:c r="C414" s="72"/>
      <x:c r="D414" s="72"/>
      <x:c r="E414" s="72"/>
      <x:c r="F414" s="72"/>
      <x:c r="G414" s="72"/>
      <x:c r="H414" s="72"/>
      <x:c r="I414" s="72"/>
      <x:c r="J414" s="72"/>
      <x:c r="K414" s="72"/>
      <x:c r="L414" s="72"/>
      <x:c r="M414" s="72"/>
      <x:c r="N414" s="72"/>
      <x:c r="O414" s="72"/>
      <x:c r="P414" s="72"/>
      <x:c r="Q414" s="72"/>
      <x:c r="R414" s="72"/>
      <x:c r="S414" s="73"/>
    </x:row>
    <x:row r="415">
      <x:c r="A415" s="81"/>
      <x:c r="B415" s="72"/>
      <x:c r="C415" s="72"/>
      <x:c r="D415" s="72"/>
      <x:c r="E415" s="72"/>
      <x:c r="F415" s="72"/>
      <x:c r="G415" s="72"/>
      <x:c r="H415" s="72"/>
      <x:c r="I415" s="72"/>
      <x:c r="J415" s="72"/>
      <x:c r="K415" s="72"/>
      <x:c r="L415" s="72"/>
      <x:c r="M415" s="72"/>
      <x:c r="N415" s="72"/>
      <x:c r="O415" s="72"/>
      <x:c r="P415" s="72"/>
      <x:c r="Q415" s="72"/>
      <x:c r="R415" s="72"/>
      <x:c r="S415" s="73"/>
    </x:row>
    <x:row r="416">
      <x:c r="A416" s="81"/>
      <x:c r="B416" s="72"/>
      <x:c r="C416" s="72"/>
      <x:c r="D416" s="72"/>
      <x:c r="E416" s="72"/>
      <x:c r="F416" s="72"/>
      <x:c r="G416" s="72"/>
      <x:c r="H416" s="72"/>
      <x:c r="I416" s="72"/>
      <x:c r="J416" s="72"/>
      <x:c r="K416" s="72"/>
      <x:c r="L416" s="72"/>
      <x:c r="M416" s="72"/>
      <x:c r="N416" s="72"/>
      <x:c r="O416" s="72"/>
      <x:c r="P416" s="72"/>
      <x:c r="Q416" s="72"/>
      <x:c r="R416" s="72"/>
      <x:c r="S416" s="73"/>
    </x:row>
    <x:row r="417">
      <x:c r="A417" s="81"/>
      <x:c r="B417" s="72"/>
      <x:c r="C417" s="72"/>
      <x:c r="D417" s="72"/>
      <x:c r="E417" s="72"/>
      <x:c r="F417" s="72"/>
      <x:c r="G417" s="72"/>
      <x:c r="H417" s="72"/>
      <x:c r="I417" s="72"/>
      <x:c r="J417" s="72"/>
      <x:c r="K417" s="72"/>
      <x:c r="L417" s="72"/>
      <x:c r="M417" s="72"/>
      <x:c r="N417" s="72"/>
      <x:c r="O417" s="72"/>
      <x:c r="P417" s="72"/>
      <x:c r="Q417" s="72"/>
      <x:c r="R417" s="72"/>
      <x:c r="S417" s="73"/>
    </x:row>
    <x:row r="418">
      <x:c r="A418" s="81"/>
      <x:c r="B418" s="72"/>
      <x:c r="C418" s="72"/>
      <x:c r="D418" s="72"/>
      <x:c r="E418" s="72"/>
      <x:c r="F418" s="72"/>
      <x:c r="G418" s="72"/>
      <x:c r="H418" s="72"/>
      <x:c r="I418" s="72"/>
      <x:c r="J418" s="72"/>
      <x:c r="K418" s="72"/>
      <x:c r="L418" s="72"/>
      <x:c r="M418" s="72"/>
      <x:c r="N418" s="72"/>
      <x:c r="O418" s="72"/>
      <x:c r="P418" s="72"/>
      <x:c r="Q418" s="72"/>
      <x:c r="R418" s="72"/>
      <x:c r="S418" s="73"/>
    </x:row>
    <x:row r="419">
      <x:c r="A419" s="81"/>
      <x:c r="B419" s="72"/>
      <x:c r="C419" s="72"/>
      <x:c r="D419" s="72"/>
      <x:c r="E419" s="72"/>
      <x:c r="F419" s="72"/>
      <x:c r="G419" s="72"/>
      <x:c r="H419" s="72"/>
      <x:c r="I419" s="72"/>
      <x:c r="J419" s="72"/>
      <x:c r="K419" s="72"/>
      <x:c r="L419" s="72"/>
      <x:c r="M419" s="72"/>
      <x:c r="N419" s="72"/>
      <x:c r="O419" s="72"/>
      <x:c r="P419" s="72"/>
      <x:c r="Q419" s="72"/>
      <x:c r="R419" s="72"/>
      <x:c r="S419" s="73"/>
    </x:row>
    <x:row r="420">
      <x:c r="A420" s="81"/>
      <x:c r="B420" s="72"/>
      <x:c r="C420" s="72"/>
      <x:c r="D420" s="72"/>
      <x:c r="E420" s="72"/>
      <x:c r="F420" s="72"/>
      <x:c r="G420" s="72"/>
      <x:c r="H420" s="72"/>
      <x:c r="I420" s="72"/>
      <x:c r="J420" s="72"/>
      <x:c r="K420" s="72"/>
      <x:c r="L420" s="72"/>
      <x:c r="M420" s="72"/>
      <x:c r="N420" s="72"/>
      <x:c r="O420" s="72"/>
      <x:c r="P420" s="72"/>
      <x:c r="Q420" s="72"/>
      <x:c r="R420" s="72"/>
      <x:c r="S420" s="73"/>
    </x:row>
    <x:row r="421">
      <x:c r="A421" s="81"/>
      <x:c r="B421" s="72"/>
      <x:c r="C421" s="72"/>
      <x:c r="D421" s="72"/>
      <x:c r="E421" s="72"/>
      <x:c r="F421" s="72"/>
      <x:c r="G421" s="72"/>
      <x:c r="H421" s="72"/>
      <x:c r="I421" s="72"/>
      <x:c r="J421" s="72"/>
      <x:c r="K421" s="72"/>
      <x:c r="L421" s="72"/>
      <x:c r="M421" s="72"/>
      <x:c r="N421" s="72"/>
      <x:c r="O421" s="72"/>
      <x:c r="P421" s="72"/>
      <x:c r="Q421" s="72"/>
      <x:c r="R421" s="72"/>
      <x:c r="S421" s="73"/>
    </x:row>
    <x:row r="422">
      <x:c r="A422" s="81"/>
      <x:c r="B422" s="72"/>
      <x:c r="C422" s="72"/>
      <x:c r="D422" s="72"/>
      <x:c r="E422" s="72"/>
      <x:c r="F422" s="72"/>
      <x:c r="G422" s="72"/>
      <x:c r="H422" s="72"/>
      <x:c r="I422" s="72"/>
      <x:c r="J422" s="72"/>
      <x:c r="K422" s="72"/>
      <x:c r="L422" s="72"/>
      <x:c r="M422" s="72"/>
      <x:c r="N422" s="72"/>
      <x:c r="O422" s="72"/>
      <x:c r="P422" s="72"/>
      <x:c r="Q422" s="72"/>
      <x:c r="R422" s="72"/>
      <x:c r="S422" s="73"/>
    </x:row>
    <x:row r="423">
      <x:c r="A423" s="81"/>
      <x:c r="B423" s="72"/>
      <x:c r="C423" s="72"/>
      <x:c r="D423" s="72"/>
      <x:c r="E423" s="72"/>
      <x:c r="F423" s="72"/>
      <x:c r="G423" s="72"/>
      <x:c r="H423" s="72"/>
      <x:c r="I423" s="72"/>
      <x:c r="J423" s="72"/>
      <x:c r="K423" s="72"/>
      <x:c r="L423" s="72"/>
      <x:c r="M423" s="72"/>
      <x:c r="N423" s="72"/>
      <x:c r="O423" s="72"/>
      <x:c r="P423" s="72"/>
      <x:c r="Q423" s="72"/>
      <x:c r="R423" s="72"/>
      <x:c r="S423" s="73"/>
    </x:row>
    <x:row r="424">
      <x:c r="A424" s="81"/>
      <x:c r="B424" s="72"/>
      <x:c r="C424" s="72"/>
      <x:c r="D424" s="72"/>
      <x:c r="E424" s="72"/>
      <x:c r="F424" s="72"/>
      <x:c r="G424" s="72"/>
      <x:c r="H424" s="72"/>
      <x:c r="I424" s="72"/>
      <x:c r="J424" s="72"/>
      <x:c r="K424" s="72"/>
      <x:c r="L424" s="72"/>
      <x:c r="M424" s="72"/>
      <x:c r="N424" s="72"/>
      <x:c r="O424" s="72"/>
      <x:c r="P424" s="72"/>
      <x:c r="Q424" s="72"/>
      <x:c r="R424" s="72"/>
      <x:c r="S424" s="73"/>
    </x:row>
    <x:row r="425">
      <x:c r="A425" s="81"/>
      <x:c r="B425" s="72"/>
      <x:c r="C425" s="72"/>
      <x:c r="D425" s="72"/>
      <x:c r="E425" s="72"/>
      <x:c r="F425" s="72"/>
      <x:c r="G425" s="72"/>
      <x:c r="H425" s="72"/>
      <x:c r="I425" s="72"/>
      <x:c r="J425" s="72"/>
      <x:c r="K425" s="72"/>
      <x:c r="L425" s="72"/>
      <x:c r="M425" s="72"/>
      <x:c r="N425" s="72"/>
      <x:c r="O425" s="72"/>
      <x:c r="P425" s="72"/>
      <x:c r="Q425" s="72"/>
      <x:c r="R425" s="72"/>
      <x:c r="S425" s="73"/>
    </x:row>
    <x:row r="426">
      <x:c r="A426" s="81"/>
      <x:c r="B426" s="72"/>
      <x:c r="C426" s="72"/>
      <x:c r="D426" s="72"/>
      <x:c r="E426" s="72"/>
      <x:c r="F426" s="72"/>
      <x:c r="G426" s="72"/>
      <x:c r="H426" s="72"/>
      <x:c r="I426" s="72"/>
      <x:c r="J426" s="72"/>
      <x:c r="K426" s="72"/>
      <x:c r="L426" s="72"/>
      <x:c r="M426" s="72"/>
      <x:c r="N426" s="72"/>
      <x:c r="O426" s="72"/>
      <x:c r="P426" s="72"/>
      <x:c r="Q426" s="72"/>
      <x:c r="R426" s="72"/>
      <x:c r="S426" s="73"/>
    </x:row>
    <x:row r="427">
      <x:c r="A427" s="81"/>
      <x:c r="B427" s="72"/>
      <x:c r="C427" s="72"/>
      <x:c r="D427" s="72"/>
      <x:c r="E427" s="72"/>
      <x:c r="F427" s="72"/>
      <x:c r="G427" s="72"/>
      <x:c r="H427" s="72"/>
      <x:c r="I427" s="72"/>
      <x:c r="J427" s="72"/>
      <x:c r="K427" s="72"/>
      <x:c r="L427" s="72"/>
      <x:c r="M427" s="72"/>
      <x:c r="N427" s="72"/>
      <x:c r="O427" s="72"/>
      <x:c r="P427" s="72"/>
      <x:c r="Q427" s="72"/>
      <x:c r="R427" s="72"/>
      <x:c r="S427" s="73"/>
    </x:row>
    <x:row r="428">
      <x:c r="A428" s="81"/>
      <x:c r="B428" s="72"/>
      <x:c r="C428" s="72"/>
      <x:c r="D428" s="72"/>
      <x:c r="E428" s="72"/>
      <x:c r="F428" s="72"/>
      <x:c r="G428" s="72"/>
      <x:c r="H428" s="72"/>
      <x:c r="I428" s="72"/>
      <x:c r="J428" s="72"/>
      <x:c r="K428" s="72"/>
      <x:c r="L428" s="72"/>
      <x:c r="M428" s="72"/>
      <x:c r="N428" s="72"/>
      <x:c r="O428" s="72"/>
      <x:c r="P428" s="72"/>
      <x:c r="Q428" s="72"/>
      <x:c r="R428" s="72"/>
      <x:c r="S428" s="73"/>
    </x:row>
    <x:row r="429">
      <x:c r="A429" s="81"/>
      <x:c r="B429" s="72"/>
      <x:c r="C429" s="72"/>
      <x:c r="D429" s="72"/>
      <x:c r="E429" s="72"/>
      <x:c r="F429" s="72"/>
      <x:c r="G429" s="72"/>
      <x:c r="H429" s="72"/>
      <x:c r="I429" s="72"/>
      <x:c r="J429" s="72"/>
      <x:c r="K429" s="72"/>
      <x:c r="L429" s="72"/>
      <x:c r="M429" s="72"/>
      <x:c r="N429" s="72"/>
      <x:c r="O429" s="72"/>
      <x:c r="P429" s="72"/>
      <x:c r="Q429" s="72"/>
      <x:c r="R429" s="72"/>
      <x:c r="S429" s="73"/>
    </x:row>
    <x:row r="430">
      <x:c r="A430" s="81"/>
      <x:c r="B430" s="72"/>
      <x:c r="C430" s="72"/>
      <x:c r="D430" s="72"/>
      <x:c r="E430" s="72"/>
      <x:c r="F430" s="72"/>
      <x:c r="G430" s="72"/>
      <x:c r="H430" s="72"/>
      <x:c r="I430" s="72"/>
      <x:c r="J430" s="72"/>
      <x:c r="K430" s="72"/>
      <x:c r="L430" s="72"/>
      <x:c r="M430" s="72"/>
      <x:c r="N430" s="72"/>
      <x:c r="O430" s="72"/>
      <x:c r="P430" s="72"/>
      <x:c r="Q430" s="72"/>
      <x:c r="R430" s="72"/>
      <x:c r="S430" s="73"/>
    </x:row>
    <x:row r="431">
      <x:c r="A431" s="81"/>
      <x:c r="B431" s="72"/>
      <x:c r="C431" s="72"/>
      <x:c r="D431" s="72"/>
      <x:c r="E431" s="72"/>
      <x:c r="F431" s="72"/>
      <x:c r="G431" s="72"/>
      <x:c r="H431" s="72"/>
      <x:c r="I431" s="72"/>
      <x:c r="J431" s="72"/>
      <x:c r="K431" s="72"/>
      <x:c r="L431" s="72"/>
      <x:c r="M431" s="72"/>
      <x:c r="N431" s="72"/>
      <x:c r="O431" s="72"/>
      <x:c r="P431" s="72"/>
      <x:c r="Q431" s="72"/>
      <x:c r="R431" s="72"/>
      <x:c r="S431" s="73"/>
    </x:row>
    <x:row r="432">
      <x:c r="A432" s="81"/>
      <x:c r="B432" s="72"/>
      <x:c r="C432" s="72"/>
      <x:c r="D432" s="72"/>
      <x:c r="E432" s="72"/>
      <x:c r="F432" s="72"/>
      <x:c r="G432" s="72"/>
      <x:c r="H432" s="72"/>
      <x:c r="I432" s="72"/>
      <x:c r="J432" s="72"/>
      <x:c r="K432" s="72"/>
      <x:c r="L432" s="72"/>
      <x:c r="M432" s="72"/>
      <x:c r="N432" s="72"/>
      <x:c r="O432" s="72"/>
      <x:c r="P432" s="72"/>
      <x:c r="Q432" s="72"/>
      <x:c r="R432" s="72"/>
      <x:c r="S432" s="73"/>
    </x:row>
    <x:row r="433">
      <x:c r="A433" s="81"/>
      <x:c r="B433" s="72"/>
      <x:c r="C433" s="72"/>
      <x:c r="D433" s="72"/>
      <x:c r="E433" s="72"/>
      <x:c r="F433" s="72"/>
      <x:c r="G433" s="72"/>
      <x:c r="H433" s="72"/>
      <x:c r="I433" s="72"/>
      <x:c r="J433" s="72"/>
      <x:c r="K433" s="72"/>
      <x:c r="L433" s="72"/>
      <x:c r="M433" s="72"/>
      <x:c r="N433" s="72"/>
      <x:c r="O433" s="72"/>
      <x:c r="P433" s="72"/>
      <x:c r="Q433" s="72"/>
      <x:c r="R433" s="72"/>
      <x:c r="S433" s="73"/>
    </x:row>
    <x:row r="434">
      <x:c r="A434" s="81"/>
      <x:c r="B434" s="72"/>
      <x:c r="C434" s="72"/>
      <x:c r="D434" s="72"/>
      <x:c r="E434" s="72"/>
      <x:c r="F434" s="72"/>
      <x:c r="G434" s="72"/>
      <x:c r="H434" s="72"/>
      <x:c r="I434" s="72"/>
      <x:c r="J434" s="72"/>
      <x:c r="K434" s="72"/>
      <x:c r="L434" s="72"/>
      <x:c r="M434" s="72"/>
      <x:c r="N434" s="72"/>
      <x:c r="O434" s="72"/>
      <x:c r="P434" s="72"/>
      <x:c r="Q434" s="72"/>
      <x:c r="R434" s="72"/>
      <x:c r="S434" s="73"/>
    </x:row>
    <x:row r="435">
      <x:c r="A435" s="81"/>
      <x:c r="B435" s="72"/>
      <x:c r="C435" s="72"/>
      <x:c r="D435" s="72"/>
      <x:c r="E435" s="72"/>
      <x:c r="F435" s="72"/>
      <x:c r="G435" s="72"/>
      <x:c r="H435" s="72"/>
      <x:c r="I435" s="72"/>
      <x:c r="J435" s="72"/>
      <x:c r="K435" s="72"/>
      <x:c r="L435" s="72"/>
      <x:c r="M435" s="72"/>
      <x:c r="N435" s="72"/>
      <x:c r="O435" s="72"/>
      <x:c r="P435" s="72"/>
      <x:c r="Q435" s="72"/>
      <x:c r="R435" s="72"/>
      <x:c r="S435" s="73"/>
    </x:row>
    <x:row r="436">
      <x:c r="A436" s="81"/>
      <x:c r="B436" s="72"/>
      <x:c r="C436" s="72"/>
      <x:c r="D436" s="72"/>
      <x:c r="E436" s="72"/>
      <x:c r="F436" s="72"/>
      <x:c r="G436" s="72"/>
      <x:c r="H436" s="72"/>
      <x:c r="I436" s="72"/>
      <x:c r="J436" s="72"/>
      <x:c r="K436" s="72"/>
      <x:c r="L436" s="72"/>
      <x:c r="M436" s="72"/>
      <x:c r="N436" s="72"/>
      <x:c r="O436" s="72"/>
      <x:c r="P436" s="72"/>
      <x:c r="Q436" s="72"/>
      <x:c r="R436" s="72"/>
      <x:c r="S436" s="73"/>
    </x:row>
    <x:row r="437">
      <x:c r="A437" s="81"/>
      <x:c r="B437" s="72"/>
      <x:c r="C437" s="72"/>
      <x:c r="D437" s="72"/>
      <x:c r="E437" s="72"/>
      <x:c r="F437" s="72"/>
      <x:c r="G437" s="72"/>
      <x:c r="H437" s="72"/>
      <x:c r="I437" s="72"/>
      <x:c r="J437" s="72"/>
      <x:c r="K437" s="72"/>
      <x:c r="L437" s="72"/>
      <x:c r="M437" s="72"/>
      <x:c r="N437" s="72"/>
      <x:c r="O437" s="72"/>
      <x:c r="P437" s="72"/>
      <x:c r="Q437" s="72"/>
      <x:c r="R437" s="72"/>
      <x:c r="S437" s="73"/>
    </x:row>
    <x:row r="438">
      <x:c r="A438" s="81"/>
      <x:c r="B438" s="72"/>
      <x:c r="C438" s="72"/>
      <x:c r="D438" s="72"/>
      <x:c r="E438" s="72"/>
      <x:c r="F438" s="72"/>
      <x:c r="G438" s="72"/>
      <x:c r="H438" s="72"/>
      <x:c r="I438" s="72"/>
      <x:c r="J438" s="72"/>
      <x:c r="K438" s="72"/>
      <x:c r="L438" s="72"/>
      <x:c r="M438" s="72"/>
      <x:c r="N438" s="72"/>
      <x:c r="O438" s="72"/>
      <x:c r="P438" s="72"/>
      <x:c r="Q438" s="72"/>
      <x:c r="R438" s="72"/>
      <x:c r="S438" s="73"/>
    </x:row>
    <x:row r="439">
      <x:c r="A439" s="81"/>
      <x:c r="B439" s="72"/>
      <x:c r="C439" s="72"/>
      <x:c r="D439" s="72"/>
      <x:c r="E439" s="72"/>
      <x:c r="F439" s="72"/>
      <x:c r="G439" s="72"/>
      <x:c r="H439" s="72"/>
      <x:c r="I439" s="72"/>
      <x:c r="J439" s="72"/>
      <x:c r="K439" s="72"/>
      <x:c r="L439" s="72"/>
      <x:c r="M439" s="72"/>
      <x:c r="N439" s="72"/>
      <x:c r="O439" s="72"/>
      <x:c r="P439" s="72"/>
      <x:c r="Q439" s="72"/>
      <x:c r="R439" s="72"/>
      <x:c r="S439" s="73"/>
    </x:row>
    <x:row r="440">
      <x:c r="A440" s="81"/>
      <x:c r="B440" s="72"/>
      <x:c r="C440" s="72"/>
      <x:c r="D440" s="72"/>
      <x:c r="E440" s="72"/>
      <x:c r="F440" s="72"/>
      <x:c r="G440" s="72"/>
      <x:c r="H440" s="72"/>
      <x:c r="I440" s="72"/>
      <x:c r="J440" s="72"/>
      <x:c r="K440" s="72"/>
      <x:c r="L440" s="72"/>
      <x:c r="M440" s="72"/>
      <x:c r="N440" s="72"/>
      <x:c r="O440" s="72"/>
      <x:c r="P440" s="72"/>
      <x:c r="Q440" s="72"/>
      <x:c r="R440" s="72"/>
      <x:c r="S440" s="73"/>
    </x:row>
    <x:row r="441">
      <x:c r="A441" s="81"/>
      <x:c r="B441" s="72"/>
      <x:c r="C441" s="72"/>
      <x:c r="D441" s="72"/>
      <x:c r="E441" s="72"/>
      <x:c r="F441" s="72"/>
      <x:c r="G441" s="72"/>
      <x:c r="H441" s="72"/>
      <x:c r="I441" s="72"/>
      <x:c r="J441" s="72"/>
      <x:c r="K441" s="72"/>
      <x:c r="L441" s="72"/>
      <x:c r="M441" s="72"/>
      <x:c r="N441" s="72"/>
      <x:c r="O441" s="72"/>
      <x:c r="P441" s="72"/>
      <x:c r="Q441" s="72"/>
      <x:c r="R441" s="72"/>
      <x:c r="S441" s="73"/>
    </x:row>
    <x:row r="442">
      <x:c r="A442" s="81"/>
      <x:c r="B442" s="72"/>
      <x:c r="C442" s="72"/>
      <x:c r="D442" s="72"/>
      <x:c r="E442" s="72"/>
      <x:c r="F442" s="72"/>
      <x:c r="G442" s="72"/>
      <x:c r="H442" s="72"/>
      <x:c r="I442" s="72"/>
      <x:c r="J442" s="72"/>
      <x:c r="K442" s="72"/>
      <x:c r="L442" s="72"/>
      <x:c r="M442" s="72"/>
      <x:c r="N442" s="72"/>
      <x:c r="O442" s="72"/>
      <x:c r="P442" s="72"/>
      <x:c r="Q442" s="72"/>
      <x:c r="R442" s="72"/>
      <x:c r="S442" s="73"/>
    </x:row>
    <x:row r="443">
      <x:c r="A443" s="81"/>
      <x:c r="B443" s="72"/>
      <x:c r="C443" s="72"/>
      <x:c r="D443" s="72"/>
      <x:c r="E443" s="72"/>
      <x:c r="F443" s="72"/>
      <x:c r="G443" s="72"/>
      <x:c r="H443" s="72"/>
      <x:c r="I443" s="72"/>
      <x:c r="J443" s="72"/>
      <x:c r="K443" s="72"/>
      <x:c r="L443" s="72"/>
      <x:c r="M443" s="72"/>
      <x:c r="N443" s="72"/>
      <x:c r="O443" s="72"/>
      <x:c r="P443" s="72"/>
      <x:c r="Q443" s="72"/>
      <x:c r="R443" s="72"/>
      <x:c r="S443" s="73"/>
    </x:row>
    <x:row r="444">
      <x:c r="A444" s="81"/>
      <x:c r="B444" s="72"/>
      <x:c r="C444" s="72"/>
      <x:c r="D444" s="72"/>
      <x:c r="E444" s="72"/>
      <x:c r="F444" s="72"/>
      <x:c r="G444" s="72"/>
      <x:c r="H444" s="72"/>
      <x:c r="I444" s="72"/>
      <x:c r="J444" s="72"/>
      <x:c r="K444" s="72"/>
      <x:c r="L444" s="72"/>
      <x:c r="M444" s="72"/>
      <x:c r="N444" s="72"/>
      <x:c r="O444" s="72"/>
      <x:c r="P444" s="72"/>
      <x:c r="Q444" s="72"/>
      <x:c r="R444" s="72"/>
      <x:c r="S444" s="73"/>
    </x:row>
    <x:row r="445">
      <x:c r="A445" s="81"/>
      <x:c r="B445" s="72"/>
      <x:c r="C445" s="72"/>
      <x:c r="D445" s="72"/>
      <x:c r="E445" s="72"/>
      <x:c r="F445" s="72"/>
      <x:c r="G445" s="72"/>
      <x:c r="H445" s="72"/>
      <x:c r="I445" s="72"/>
      <x:c r="J445" s="72"/>
      <x:c r="K445" s="72"/>
      <x:c r="L445" s="72"/>
      <x:c r="M445" s="72"/>
      <x:c r="N445" s="72"/>
      <x:c r="O445" s="72"/>
      <x:c r="P445" s="72"/>
      <x:c r="Q445" s="72"/>
      <x:c r="R445" s="72"/>
      <x:c r="S445" s="73"/>
    </x:row>
    <x:row r="446">
      <x:c r="A446" s="81"/>
      <x:c r="B446" s="72"/>
      <x:c r="C446" s="72"/>
      <x:c r="D446" s="72"/>
      <x:c r="E446" s="72"/>
      <x:c r="F446" s="72"/>
      <x:c r="G446" s="72"/>
      <x:c r="H446" s="72"/>
      <x:c r="I446" s="72"/>
      <x:c r="J446" s="72"/>
      <x:c r="K446" s="72"/>
      <x:c r="L446" s="72"/>
      <x:c r="M446" s="72"/>
      <x:c r="N446" s="72"/>
      <x:c r="O446" s="72"/>
      <x:c r="P446" s="72"/>
      <x:c r="Q446" s="72"/>
      <x:c r="R446" s="72"/>
      <x:c r="S446" s="73"/>
    </x:row>
    <x:row r="447">
      <x:c r="A447" s="81"/>
      <x:c r="B447" s="72"/>
      <x:c r="C447" s="72"/>
      <x:c r="D447" s="72"/>
      <x:c r="E447" s="72"/>
      <x:c r="F447" s="72"/>
      <x:c r="G447" s="72"/>
      <x:c r="H447" s="72"/>
      <x:c r="I447" s="72"/>
      <x:c r="J447" s="72"/>
      <x:c r="K447" s="72"/>
      <x:c r="L447" s="72"/>
      <x:c r="M447" s="72"/>
      <x:c r="N447" s="72"/>
      <x:c r="O447" s="72"/>
      <x:c r="P447" s="72"/>
      <x:c r="Q447" s="72"/>
      <x:c r="R447" s="72"/>
      <x:c r="S447" s="73"/>
    </x:row>
    <x:row r="448">
      <x:c r="A448" s="81"/>
      <x:c r="B448" s="72"/>
      <x:c r="C448" s="72"/>
      <x:c r="D448" s="72"/>
      <x:c r="E448" s="72"/>
      <x:c r="F448" s="72"/>
      <x:c r="G448" s="72"/>
      <x:c r="H448" s="72"/>
      <x:c r="I448" s="72"/>
      <x:c r="J448" s="72"/>
      <x:c r="K448" s="72"/>
      <x:c r="L448" s="72"/>
      <x:c r="M448" s="72"/>
      <x:c r="N448" s="72"/>
      <x:c r="O448" s="72"/>
      <x:c r="P448" s="72"/>
      <x:c r="Q448" s="72"/>
      <x:c r="R448" s="72"/>
      <x:c r="S448" s="73"/>
    </x:row>
    <x:row r="449">
      <x:c r="A449" s="81"/>
      <x:c r="B449" s="72"/>
      <x:c r="C449" s="72"/>
      <x:c r="D449" s="72"/>
      <x:c r="E449" s="72"/>
      <x:c r="F449" s="72"/>
      <x:c r="G449" s="72"/>
      <x:c r="H449" s="72"/>
      <x:c r="I449" s="72"/>
      <x:c r="J449" s="72"/>
      <x:c r="K449" s="72"/>
      <x:c r="L449" s="72"/>
      <x:c r="M449" s="72"/>
      <x:c r="N449" s="72"/>
      <x:c r="O449" s="72"/>
      <x:c r="P449" s="72"/>
      <x:c r="Q449" s="72"/>
      <x:c r="R449" s="72"/>
      <x:c r="S449" s="73"/>
    </x:row>
    <x:row r="450">
      <x:c r="A450" s="81"/>
      <x:c r="B450" s="72"/>
      <x:c r="C450" s="72"/>
      <x:c r="D450" s="72"/>
      <x:c r="E450" s="72"/>
      <x:c r="F450" s="72"/>
      <x:c r="G450" s="72"/>
      <x:c r="H450" s="72"/>
      <x:c r="I450" s="72"/>
      <x:c r="J450" s="72"/>
      <x:c r="K450" s="72"/>
      <x:c r="L450" s="72"/>
      <x:c r="M450" s="72"/>
      <x:c r="N450" s="72"/>
      <x:c r="O450" s="72"/>
      <x:c r="P450" s="72"/>
      <x:c r="Q450" s="72"/>
      <x:c r="R450" s="72"/>
      <x:c r="S450" s="73"/>
    </x:row>
    <x:row r="451">
      <x:c r="A451" s="81"/>
      <x:c r="B451" s="72"/>
      <x:c r="C451" s="72"/>
      <x:c r="D451" s="72"/>
      <x:c r="E451" s="72"/>
      <x:c r="F451" s="72"/>
      <x:c r="G451" s="72"/>
      <x:c r="H451" s="72"/>
      <x:c r="I451" s="72"/>
      <x:c r="J451" s="72"/>
      <x:c r="K451" s="72"/>
      <x:c r="L451" s="72"/>
      <x:c r="M451" s="72"/>
      <x:c r="N451" s="72"/>
      <x:c r="O451" s="72"/>
      <x:c r="P451" s="72"/>
      <x:c r="Q451" s="72"/>
      <x:c r="R451" s="72"/>
      <x:c r="S451" s="73"/>
    </x:row>
    <x:row r="452">
      <x:c r="A452" s="81"/>
      <x:c r="B452" s="72"/>
      <x:c r="C452" s="72"/>
      <x:c r="D452" s="72"/>
      <x:c r="E452" s="72"/>
      <x:c r="F452" s="72"/>
      <x:c r="G452" s="72"/>
      <x:c r="H452" s="72"/>
      <x:c r="I452" s="72"/>
      <x:c r="J452" s="72"/>
      <x:c r="K452" s="72"/>
      <x:c r="L452" s="72"/>
      <x:c r="M452" s="72"/>
      <x:c r="N452" s="72"/>
      <x:c r="O452" s="72"/>
      <x:c r="P452" s="72"/>
      <x:c r="Q452" s="72"/>
      <x:c r="R452" s="72"/>
      <x:c r="S452" s="73"/>
    </x:row>
    <x:row r="453">
      <x:c r="A453" s="81"/>
      <x:c r="B453" s="72"/>
      <x:c r="C453" s="72"/>
      <x:c r="D453" s="72"/>
      <x:c r="E453" s="72"/>
      <x:c r="F453" s="72"/>
      <x:c r="G453" s="72"/>
      <x:c r="H453" s="72"/>
      <x:c r="I453" s="72"/>
      <x:c r="J453" s="72"/>
      <x:c r="K453" s="72"/>
      <x:c r="L453" s="72"/>
      <x:c r="M453" s="72"/>
      <x:c r="N453" s="72"/>
      <x:c r="O453" s="72"/>
      <x:c r="P453" s="72"/>
      <x:c r="Q453" s="72"/>
      <x:c r="R453" s="72"/>
      <x:c r="S453" s="73"/>
    </x:row>
    <x:row r="454">
      <x:c r="A454" s="81"/>
      <x:c r="B454" s="72"/>
      <x:c r="C454" s="72"/>
      <x:c r="D454" s="72"/>
      <x:c r="E454" s="72"/>
      <x:c r="F454" s="72"/>
      <x:c r="G454" s="72"/>
      <x:c r="H454" s="72"/>
      <x:c r="I454" s="72"/>
      <x:c r="J454" s="72"/>
      <x:c r="K454" s="72"/>
      <x:c r="L454" s="72"/>
      <x:c r="M454" s="72"/>
      <x:c r="N454" s="72"/>
      <x:c r="O454" s="72"/>
      <x:c r="P454" s="72"/>
      <x:c r="Q454" s="72"/>
      <x:c r="R454" s="72"/>
      <x:c r="S454" s="73"/>
    </x:row>
    <x:row r="455">
      <x:c r="A455" s="81"/>
      <x:c r="B455" s="72"/>
      <x:c r="C455" s="72"/>
      <x:c r="D455" s="72"/>
      <x:c r="E455" s="72"/>
      <x:c r="F455" s="72"/>
      <x:c r="G455" s="72"/>
      <x:c r="H455" s="72"/>
      <x:c r="I455" s="72"/>
      <x:c r="J455" s="72"/>
      <x:c r="K455" s="72"/>
      <x:c r="L455" s="72"/>
      <x:c r="M455" s="72"/>
      <x:c r="N455" s="72"/>
      <x:c r="O455" s="72"/>
      <x:c r="P455" s="72"/>
      <x:c r="Q455" s="72"/>
      <x:c r="R455" s="72"/>
      <x:c r="S455" s="73"/>
    </x:row>
    <x:row r="456">
      <x:c r="A456" s="81"/>
      <x:c r="B456" s="72"/>
      <x:c r="C456" s="72"/>
      <x:c r="D456" s="72"/>
      <x:c r="E456" s="72"/>
      <x:c r="F456" s="72"/>
      <x:c r="G456" s="72"/>
      <x:c r="H456" s="72"/>
      <x:c r="I456" s="72"/>
      <x:c r="J456" s="72"/>
      <x:c r="K456" s="72"/>
      <x:c r="L456" s="72"/>
      <x:c r="M456" s="72"/>
      <x:c r="N456" s="72"/>
      <x:c r="O456" s="72"/>
      <x:c r="P456" s="72"/>
      <x:c r="Q456" s="72"/>
      <x:c r="R456" s="72"/>
      <x:c r="S456" s="73"/>
    </x:row>
    <x:row r="457">
      <x:c r="A457" s="81"/>
      <x:c r="B457" s="72"/>
      <x:c r="C457" s="72"/>
      <x:c r="D457" s="72"/>
      <x:c r="E457" s="72"/>
      <x:c r="F457" s="72"/>
      <x:c r="G457" s="72"/>
      <x:c r="H457" s="72"/>
      <x:c r="I457" s="72"/>
      <x:c r="J457" s="72"/>
      <x:c r="K457" s="72"/>
      <x:c r="L457" s="72"/>
      <x:c r="M457" s="72"/>
      <x:c r="N457" s="72"/>
      <x:c r="O457" s="72"/>
      <x:c r="P457" s="72"/>
      <x:c r="Q457" s="72"/>
      <x:c r="R457" s="72"/>
      <x:c r="S457" s="73"/>
    </x:row>
    <x:row r="458">
      <x:c r="A458" s="81"/>
      <x:c r="B458" s="72"/>
      <x:c r="C458" s="72"/>
      <x:c r="D458" s="72"/>
      <x:c r="E458" s="72"/>
      <x:c r="F458" s="72"/>
      <x:c r="G458" s="72"/>
      <x:c r="H458" s="72"/>
      <x:c r="I458" s="72"/>
      <x:c r="J458" s="72"/>
      <x:c r="K458" s="72"/>
      <x:c r="L458" s="72"/>
      <x:c r="M458" s="72"/>
      <x:c r="N458" s="72"/>
      <x:c r="O458" s="72"/>
      <x:c r="P458" s="72"/>
      <x:c r="Q458" s="72"/>
      <x:c r="R458" s="72"/>
      <x:c r="S458" s="73"/>
    </x:row>
    <x:row r="459">
      <x:c r="A459" s="81"/>
      <x:c r="B459" s="72"/>
      <x:c r="C459" s="72"/>
      <x:c r="D459" s="72"/>
      <x:c r="E459" s="72"/>
      <x:c r="F459" s="72"/>
      <x:c r="G459" s="72"/>
      <x:c r="H459" s="72"/>
      <x:c r="I459" s="72"/>
      <x:c r="J459" s="72"/>
      <x:c r="K459" s="72"/>
      <x:c r="L459" s="72"/>
      <x:c r="M459" s="72"/>
      <x:c r="N459" s="72"/>
      <x:c r="O459" s="72"/>
      <x:c r="P459" s="72"/>
      <x:c r="Q459" s="72"/>
      <x:c r="R459" s="72"/>
      <x:c r="S459" s="73"/>
    </x:row>
    <x:row r="460">
      <x:c r="A460" s="81"/>
      <x:c r="B460" s="72"/>
      <x:c r="C460" s="72"/>
      <x:c r="D460" s="72"/>
      <x:c r="E460" s="72"/>
      <x:c r="F460" s="72"/>
      <x:c r="G460" s="72"/>
      <x:c r="H460" s="72"/>
      <x:c r="I460" s="72"/>
      <x:c r="J460" s="72"/>
      <x:c r="K460" s="72"/>
      <x:c r="L460" s="72"/>
      <x:c r="M460" s="72"/>
      <x:c r="N460" s="72"/>
      <x:c r="O460" s="72"/>
      <x:c r="P460" s="72"/>
      <x:c r="Q460" s="72"/>
      <x:c r="R460" s="72"/>
      <x:c r="S460" s="73"/>
    </x:row>
    <x:row r="461">
      <x:c r="A461" s="81"/>
      <x:c r="B461" s="72"/>
      <x:c r="C461" s="72"/>
      <x:c r="D461" s="72"/>
      <x:c r="E461" s="72"/>
      <x:c r="F461" s="72"/>
      <x:c r="G461" s="72"/>
      <x:c r="H461" s="72"/>
      <x:c r="I461" s="72"/>
      <x:c r="J461" s="72"/>
      <x:c r="K461" s="72"/>
      <x:c r="L461" s="72"/>
      <x:c r="M461" s="72"/>
      <x:c r="N461" s="72"/>
      <x:c r="O461" s="72"/>
      <x:c r="P461" s="72"/>
      <x:c r="Q461" s="72"/>
      <x:c r="R461" s="72"/>
      <x:c r="S461" s="73"/>
    </x:row>
    <x:row r="462">
      <x:c r="A462" s="81"/>
      <x:c r="B462" s="72"/>
      <x:c r="C462" s="72"/>
      <x:c r="D462" s="72"/>
      <x:c r="E462" s="72"/>
      <x:c r="F462" s="72"/>
      <x:c r="G462" s="72"/>
      <x:c r="H462" s="72"/>
      <x:c r="I462" s="72"/>
      <x:c r="J462" s="72"/>
      <x:c r="K462" s="72"/>
      <x:c r="L462" s="72"/>
      <x:c r="M462" s="72"/>
      <x:c r="N462" s="72"/>
      <x:c r="O462" s="72"/>
      <x:c r="P462" s="72"/>
      <x:c r="Q462" s="72"/>
      <x:c r="R462" s="72"/>
      <x:c r="S462" s="73"/>
    </x:row>
    <x:row r="463">
      <x:c r="A463" s="81"/>
      <x:c r="B463" s="72"/>
      <x:c r="C463" s="72"/>
      <x:c r="D463" s="72"/>
      <x:c r="E463" s="72"/>
      <x:c r="F463" s="72"/>
      <x:c r="G463" s="72"/>
      <x:c r="H463" s="72"/>
      <x:c r="I463" s="72"/>
      <x:c r="J463" s="72"/>
      <x:c r="K463" s="72"/>
      <x:c r="L463" s="72"/>
      <x:c r="M463" s="72"/>
      <x:c r="N463" s="72"/>
      <x:c r="O463" s="72"/>
      <x:c r="P463" s="72"/>
      <x:c r="Q463" s="72"/>
      <x:c r="R463" s="72"/>
      <x:c r="S463" s="73"/>
    </x:row>
    <x:row r="464">
      <x:c r="A464" s="81"/>
      <x:c r="B464" s="72"/>
      <x:c r="C464" s="72"/>
      <x:c r="D464" s="72"/>
      <x:c r="E464" s="72"/>
      <x:c r="F464" s="72"/>
      <x:c r="G464" s="72"/>
      <x:c r="H464" s="72"/>
      <x:c r="I464" s="72"/>
      <x:c r="J464" s="72"/>
      <x:c r="K464" s="72"/>
      <x:c r="L464" s="72"/>
      <x:c r="M464" s="72"/>
      <x:c r="N464" s="72"/>
      <x:c r="O464" s="72"/>
      <x:c r="P464" s="72"/>
      <x:c r="Q464" s="72"/>
      <x:c r="R464" s="72"/>
      <x:c r="S464" s="73"/>
    </x:row>
    <x:row r="465">
      <x:c r="A465" s="81"/>
      <x:c r="B465" s="72"/>
      <x:c r="C465" s="72"/>
      <x:c r="D465" s="72"/>
      <x:c r="E465" s="72"/>
      <x:c r="F465" s="72"/>
      <x:c r="G465" s="72"/>
      <x:c r="H465" s="72"/>
      <x:c r="I465" s="72"/>
      <x:c r="J465" s="72"/>
      <x:c r="K465" s="72"/>
      <x:c r="L465" s="72"/>
      <x:c r="M465" s="72"/>
      <x:c r="N465" s="72"/>
      <x:c r="O465" s="72"/>
      <x:c r="P465" s="72"/>
      <x:c r="Q465" s="72"/>
      <x:c r="R465" s="72"/>
      <x:c r="S465" s="73"/>
    </x:row>
    <x:row r="466">
      <x:c r="A466" s="81"/>
      <x:c r="B466" s="72"/>
      <x:c r="C466" s="72"/>
      <x:c r="D466" s="72"/>
      <x:c r="E466" s="72"/>
      <x:c r="F466" s="72"/>
      <x:c r="G466" s="72"/>
      <x:c r="H466" s="72"/>
      <x:c r="I466" s="72"/>
      <x:c r="J466" s="72"/>
      <x:c r="K466" s="72"/>
      <x:c r="L466" s="72"/>
      <x:c r="M466" s="72"/>
      <x:c r="N466" s="72"/>
      <x:c r="O466" s="72"/>
      <x:c r="P466" s="72"/>
      <x:c r="Q466" s="72"/>
      <x:c r="R466" s="72"/>
      <x:c r="S466" s="73"/>
    </x:row>
    <x:row r="467">
      <x:c r="A467" s="81"/>
      <x:c r="B467" s="72"/>
      <x:c r="C467" s="72"/>
      <x:c r="D467" s="72"/>
      <x:c r="E467" s="72"/>
      <x:c r="F467" s="72"/>
      <x:c r="G467" s="72"/>
      <x:c r="H467" s="72"/>
      <x:c r="I467" s="72"/>
      <x:c r="J467" s="72"/>
      <x:c r="K467" s="72"/>
      <x:c r="L467" s="72"/>
      <x:c r="M467" s="72"/>
      <x:c r="N467" s="72"/>
      <x:c r="O467" s="72"/>
      <x:c r="P467" s="72"/>
      <x:c r="Q467" s="72"/>
      <x:c r="R467" s="72"/>
      <x:c r="S467" s="73"/>
    </x:row>
    <x:row r="468">
      <x:c r="A468" s="81"/>
      <x:c r="B468" s="72"/>
      <x:c r="C468" s="72"/>
      <x:c r="D468" s="72"/>
      <x:c r="E468" s="72"/>
      <x:c r="F468" s="72"/>
      <x:c r="G468" s="72"/>
      <x:c r="H468" s="72"/>
      <x:c r="I468" s="72"/>
      <x:c r="J468" s="72"/>
      <x:c r="K468" s="72"/>
      <x:c r="L468" s="72"/>
      <x:c r="M468" s="72"/>
      <x:c r="N468" s="72"/>
      <x:c r="O468" s="72"/>
      <x:c r="P468" s="72"/>
      <x:c r="Q468" s="72"/>
      <x:c r="R468" s="72"/>
      <x:c r="S468" s="73"/>
    </x:row>
    <x:row r="469">
      <x:c r="A469" s="81"/>
      <x:c r="B469" s="72"/>
      <x:c r="C469" s="72"/>
      <x:c r="D469" s="72"/>
      <x:c r="E469" s="72"/>
      <x:c r="F469" s="72"/>
      <x:c r="G469" s="72"/>
      <x:c r="H469" s="72"/>
      <x:c r="I469" s="72"/>
      <x:c r="J469" s="72"/>
      <x:c r="K469" s="72"/>
      <x:c r="L469" s="72"/>
      <x:c r="M469" s="72"/>
      <x:c r="N469" s="72"/>
      <x:c r="O469" s="72"/>
      <x:c r="P469" s="72"/>
      <x:c r="Q469" s="72"/>
      <x:c r="R469" s="72"/>
      <x:c r="S469" s="73"/>
    </x:row>
    <x:row r="470">
      <x:c r="A470" s="81"/>
      <x:c r="B470" s="72"/>
      <x:c r="C470" s="72"/>
      <x:c r="D470" s="72"/>
      <x:c r="E470" s="72"/>
      <x:c r="F470" s="72"/>
      <x:c r="G470" s="72"/>
      <x:c r="H470" s="72"/>
      <x:c r="I470" s="72"/>
      <x:c r="J470" s="72"/>
      <x:c r="K470" s="72"/>
      <x:c r="L470" s="72"/>
      <x:c r="M470" s="72"/>
      <x:c r="N470" s="72"/>
      <x:c r="O470" s="72"/>
      <x:c r="P470" s="72"/>
      <x:c r="Q470" s="72"/>
      <x:c r="R470" s="72"/>
      <x:c r="S470" s="73"/>
    </x:row>
    <x:row r="471">
      <x:c r="A471" s="81"/>
      <x:c r="B471" s="72"/>
      <x:c r="C471" s="72"/>
      <x:c r="D471" s="72"/>
      <x:c r="E471" s="72"/>
      <x:c r="F471" s="72"/>
      <x:c r="G471" s="72"/>
      <x:c r="H471" s="72"/>
      <x:c r="I471" s="72"/>
      <x:c r="J471" s="72"/>
      <x:c r="K471" s="72"/>
      <x:c r="L471" s="72"/>
      <x:c r="M471" s="72"/>
      <x:c r="N471" s="72"/>
      <x:c r="O471" s="72"/>
      <x:c r="P471" s="72"/>
      <x:c r="Q471" s="72"/>
      <x:c r="R471" s="72"/>
      <x:c r="S471" s="73"/>
    </x:row>
    <x:row r="472">
      <x:c r="A472" s="81"/>
      <x:c r="B472" s="72"/>
      <x:c r="C472" s="72"/>
      <x:c r="D472" s="72"/>
      <x:c r="E472" s="72"/>
      <x:c r="F472" s="72"/>
      <x:c r="G472" s="72"/>
      <x:c r="H472" s="72"/>
      <x:c r="I472" s="72"/>
      <x:c r="J472" s="72"/>
      <x:c r="K472" s="72"/>
      <x:c r="L472" s="72"/>
      <x:c r="M472" s="72"/>
      <x:c r="N472" s="72"/>
      <x:c r="O472" s="72"/>
      <x:c r="P472" s="72"/>
      <x:c r="Q472" s="72"/>
      <x:c r="R472" s="72"/>
      <x:c r="S472" s="73"/>
    </x:row>
    <x:row r="473">
      <x:c r="A473" s="81"/>
      <x:c r="B473" s="72"/>
      <x:c r="C473" s="72"/>
      <x:c r="D473" s="72"/>
      <x:c r="E473" s="72"/>
      <x:c r="F473" s="72"/>
      <x:c r="G473" s="72"/>
      <x:c r="H473" s="72"/>
      <x:c r="I473" s="72"/>
      <x:c r="J473" s="72"/>
      <x:c r="K473" s="72"/>
      <x:c r="L473" s="72"/>
      <x:c r="M473" s="72"/>
      <x:c r="N473" s="72"/>
      <x:c r="O473" s="72"/>
      <x:c r="P473" s="72"/>
      <x:c r="Q473" s="72"/>
      <x:c r="R473" s="72"/>
      <x:c r="S473" s="73"/>
    </x:row>
    <x:row r="474">
      <x:c r="A474" s="81"/>
      <x:c r="B474" s="72"/>
      <x:c r="C474" s="72"/>
      <x:c r="D474" s="72"/>
      <x:c r="E474" s="72"/>
      <x:c r="F474" s="72"/>
      <x:c r="G474" s="72"/>
      <x:c r="H474" s="72"/>
      <x:c r="I474" s="72"/>
      <x:c r="J474" s="72"/>
      <x:c r="K474" s="72"/>
      <x:c r="L474" s="72"/>
      <x:c r="M474" s="72"/>
      <x:c r="N474" s="72"/>
      <x:c r="O474" s="72"/>
      <x:c r="P474" s="72"/>
      <x:c r="Q474" s="72"/>
      <x:c r="R474" s="72"/>
      <x:c r="S474" s="73"/>
    </x:row>
    <x:row r="475">
      <x:c r="A475" s="81"/>
      <x:c r="B475" s="72"/>
      <x:c r="C475" s="72"/>
      <x:c r="D475" s="72"/>
      <x:c r="E475" s="72"/>
      <x:c r="F475" s="72"/>
      <x:c r="G475" s="72"/>
      <x:c r="H475" s="72"/>
      <x:c r="I475" s="72"/>
      <x:c r="J475" s="72"/>
      <x:c r="K475" s="72"/>
      <x:c r="L475" s="72"/>
      <x:c r="M475" s="72"/>
      <x:c r="N475" s="72"/>
      <x:c r="O475" s="72"/>
      <x:c r="P475" s="72"/>
      <x:c r="Q475" s="72"/>
      <x:c r="R475" s="72"/>
      <x:c r="S475" s="73"/>
    </x:row>
    <x:row r="476">
      <x:c r="A476" s="81"/>
      <x:c r="B476" s="72"/>
      <x:c r="C476" s="72"/>
      <x:c r="D476" s="72"/>
      <x:c r="E476" s="72"/>
      <x:c r="F476" s="72"/>
      <x:c r="G476" s="72"/>
      <x:c r="H476" s="72"/>
      <x:c r="I476" s="72"/>
      <x:c r="J476" s="72"/>
      <x:c r="K476" s="72"/>
      <x:c r="L476" s="72"/>
      <x:c r="M476" s="72"/>
      <x:c r="N476" s="72"/>
      <x:c r="O476" s="72"/>
      <x:c r="P476" s="72"/>
      <x:c r="Q476" s="72"/>
      <x:c r="R476" s="72"/>
      <x:c r="S476" s="73"/>
    </x:row>
    <x:row r="477">
      <x:c r="A477" s="81"/>
      <x:c r="B477" s="72"/>
      <x:c r="C477" s="72"/>
      <x:c r="D477" s="72"/>
      <x:c r="E477" s="72"/>
      <x:c r="F477" s="72"/>
      <x:c r="G477" s="72"/>
      <x:c r="H477" s="72"/>
      <x:c r="I477" s="72"/>
      <x:c r="J477" s="72"/>
      <x:c r="K477" s="72"/>
      <x:c r="L477" s="72"/>
      <x:c r="M477" s="72"/>
      <x:c r="N477" s="72"/>
      <x:c r="O477" s="72"/>
      <x:c r="P477" s="72"/>
      <x:c r="Q477" s="72"/>
      <x:c r="R477" s="72"/>
      <x:c r="S477" s="73"/>
    </x:row>
    <x:row r="478">
      <x:c r="A478" s="81"/>
      <x:c r="B478" s="72"/>
      <x:c r="C478" s="72"/>
      <x:c r="D478" s="72"/>
      <x:c r="E478" s="72"/>
      <x:c r="F478" s="72"/>
      <x:c r="G478" s="72"/>
      <x:c r="H478" s="72"/>
      <x:c r="I478" s="72"/>
      <x:c r="J478" s="72"/>
      <x:c r="K478" s="72"/>
      <x:c r="L478" s="72"/>
      <x:c r="M478" s="72"/>
      <x:c r="N478" s="72"/>
      <x:c r="O478" s="72"/>
      <x:c r="P478" s="72"/>
      <x:c r="Q478" s="72"/>
      <x:c r="R478" s="72"/>
      <x:c r="S478" s="73"/>
    </x:row>
    <x:row r="479">
      <x:c r="A479" s="81"/>
      <x:c r="B479" s="72"/>
      <x:c r="C479" s="72"/>
      <x:c r="D479" s="72"/>
      <x:c r="E479" s="72"/>
      <x:c r="F479" s="72"/>
      <x:c r="G479" s="72"/>
      <x:c r="H479" s="72"/>
      <x:c r="I479" s="72"/>
      <x:c r="J479" s="72"/>
      <x:c r="K479" s="72"/>
      <x:c r="L479" s="72"/>
      <x:c r="M479" s="72"/>
      <x:c r="N479" s="72"/>
      <x:c r="O479" s="72"/>
      <x:c r="P479" s="72"/>
      <x:c r="Q479" s="72"/>
      <x:c r="R479" s="72"/>
      <x:c r="S479" s="73"/>
    </x:row>
    <x:row r="480">
      <x:c r="A480" s="81"/>
      <x:c r="B480" s="72"/>
      <x:c r="C480" s="72"/>
      <x:c r="D480" s="72"/>
      <x:c r="E480" s="72"/>
      <x:c r="F480" s="72"/>
      <x:c r="G480" s="72"/>
      <x:c r="H480" s="72"/>
      <x:c r="I480" s="72"/>
      <x:c r="J480" s="72"/>
      <x:c r="K480" s="72"/>
      <x:c r="L480" s="72"/>
      <x:c r="M480" s="72"/>
      <x:c r="N480" s="72"/>
      <x:c r="O480" s="72"/>
      <x:c r="P480" s="72"/>
      <x:c r="Q480" s="72"/>
      <x:c r="R480" s="72"/>
      <x:c r="S480" s="73"/>
    </x:row>
    <x:row r="481">
      <x:c r="A481" s="81"/>
      <x:c r="B481" s="72"/>
      <x:c r="C481" s="72"/>
      <x:c r="D481" s="72"/>
      <x:c r="E481" s="72"/>
      <x:c r="F481" s="72"/>
      <x:c r="G481" s="72"/>
      <x:c r="H481" s="72"/>
      <x:c r="I481" s="72"/>
      <x:c r="J481" s="72"/>
      <x:c r="K481" s="72"/>
      <x:c r="L481" s="72"/>
      <x:c r="M481" s="72"/>
      <x:c r="N481" s="72"/>
      <x:c r="O481" s="72"/>
      <x:c r="P481" s="72"/>
      <x:c r="Q481" s="72"/>
      <x:c r="R481" s="72"/>
      <x:c r="S481" s="73"/>
    </x:row>
    <x:row r="482">
      <x:c r="A482" s="81"/>
      <x:c r="B482" s="72"/>
      <x:c r="C482" s="72"/>
      <x:c r="D482" s="72"/>
      <x:c r="E482" s="72"/>
      <x:c r="F482" s="72"/>
      <x:c r="G482" s="72"/>
      <x:c r="H482" s="72"/>
      <x:c r="I482" s="72"/>
      <x:c r="J482" s="72"/>
      <x:c r="K482" s="72"/>
      <x:c r="L482" s="72"/>
      <x:c r="M482" s="72"/>
      <x:c r="N482" s="72"/>
      <x:c r="O482" s="72"/>
      <x:c r="P482" s="72"/>
      <x:c r="Q482" s="72"/>
      <x:c r="R482" s="72"/>
      <x:c r="S482" s="73"/>
    </x:row>
    <x:row r="483">
      <x:c r="A483" s="81"/>
      <x:c r="B483" s="72"/>
      <x:c r="C483" s="72"/>
      <x:c r="D483" s="72"/>
      <x:c r="E483" s="72"/>
      <x:c r="F483" s="72"/>
      <x:c r="G483" s="72"/>
      <x:c r="H483" s="72"/>
      <x:c r="I483" s="72"/>
      <x:c r="J483" s="72"/>
      <x:c r="K483" s="72"/>
      <x:c r="L483" s="72"/>
      <x:c r="M483" s="72"/>
      <x:c r="N483" s="72"/>
      <x:c r="O483" s="72"/>
      <x:c r="P483" s="72"/>
      <x:c r="Q483" s="72"/>
      <x:c r="R483" s="72"/>
      <x:c r="S483" s="73"/>
    </x:row>
    <x:row r="484">
      <x:c r="A484" s="81"/>
      <x:c r="B484" s="72"/>
      <x:c r="C484" s="72"/>
      <x:c r="D484" s="72"/>
      <x:c r="E484" s="72"/>
      <x:c r="F484" s="72"/>
      <x:c r="G484" s="72"/>
      <x:c r="H484" s="72"/>
      <x:c r="I484" s="72"/>
      <x:c r="J484" s="72"/>
      <x:c r="K484" s="72"/>
      <x:c r="L484" s="72"/>
      <x:c r="M484" s="72"/>
      <x:c r="N484" s="72"/>
      <x:c r="O484" s="72"/>
      <x:c r="P484" s="72"/>
      <x:c r="Q484" s="72"/>
      <x:c r="R484" s="72"/>
      <x:c r="S484" s="73"/>
    </x:row>
    <x:row r="485">
      <x:c r="A485" s="81"/>
      <x:c r="B485" s="72"/>
      <x:c r="C485" s="72"/>
      <x:c r="D485" s="72"/>
      <x:c r="E485" s="72"/>
      <x:c r="F485" s="72"/>
      <x:c r="G485" s="72"/>
      <x:c r="H485" s="72"/>
      <x:c r="I485" s="72"/>
      <x:c r="J485" s="72"/>
      <x:c r="K485" s="72"/>
      <x:c r="L485" s="72"/>
      <x:c r="M485" s="72"/>
      <x:c r="N485" s="72"/>
      <x:c r="O485" s="72"/>
      <x:c r="P485" s="72"/>
      <x:c r="Q485" s="72"/>
      <x:c r="R485" s="72"/>
      <x:c r="S485" s="73"/>
    </x:row>
    <x:row r="486">
      <x:c r="A486" s="81"/>
      <x:c r="B486" s="72"/>
      <x:c r="C486" s="72"/>
      <x:c r="D486" s="72"/>
      <x:c r="E486" s="72"/>
      <x:c r="F486" s="72"/>
      <x:c r="G486" s="72"/>
      <x:c r="H486" s="72"/>
      <x:c r="I486" s="72"/>
      <x:c r="J486" s="72"/>
      <x:c r="K486" s="72"/>
      <x:c r="L486" s="72"/>
      <x:c r="M486" s="72"/>
      <x:c r="N486" s="72"/>
      <x:c r="O486" s="72"/>
      <x:c r="P486" s="72"/>
      <x:c r="Q486" s="72"/>
      <x:c r="R486" s="72"/>
      <x:c r="S486" s="73"/>
    </x:row>
    <x:row r="487">
      <x:c r="A487" s="81"/>
      <x:c r="B487" s="72"/>
      <x:c r="C487" s="72"/>
      <x:c r="D487" s="72"/>
      <x:c r="E487" s="72"/>
      <x:c r="F487" s="72"/>
      <x:c r="G487" s="72"/>
      <x:c r="H487" s="72"/>
      <x:c r="I487" s="72"/>
      <x:c r="J487" s="72"/>
      <x:c r="K487" s="72"/>
      <x:c r="L487" s="72"/>
      <x:c r="M487" s="72"/>
      <x:c r="N487" s="72"/>
      <x:c r="O487" s="72"/>
      <x:c r="P487" s="72"/>
      <x:c r="Q487" s="72"/>
      <x:c r="R487" s="72"/>
      <x:c r="S487" s="73"/>
    </x:row>
    <x:row r="488">
      <x:c r="A488" s="81"/>
      <x:c r="B488" s="72"/>
      <x:c r="C488" s="72"/>
      <x:c r="D488" s="72"/>
      <x:c r="E488" s="72"/>
      <x:c r="F488" s="72"/>
      <x:c r="G488" s="72"/>
      <x:c r="H488" s="72"/>
      <x:c r="I488" s="72"/>
      <x:c r="J488" s="72"/>
      <x:c r="K488" s="72"/>
      <x:c r="L488" s="72"/>
      <x:c r="M488" s="72"/>
      <x:c r="N488" s="72"/>
      <x:c r="O488" s="72"/>
      <x:c r="P488" s="72"/>
      <x:c r="Q488" s="72"/>
      <x:c r="R488" s="72"/>
      <x:c r="S488" s="73"/>
    </x:row>
    <x:row r="489">
      <x:c r="A489" s="81"/>
      <x:c r="B489" s="72"/>
      <x:c r="C489" s="72"/>
      <x:c r="D489" s="72"/>
      <x:c r="E489" s="72"/>
      <x:c r="F489" s="72"/>
      <x:c r="G489" s="72"/>
      <x:c r="H489" s="72"/>
      <x:c r="I489" s="72"/>
      <x:c r="J489" s="72"/>
      <x:c r="K489" s="72"/>
      <x:c r="L489" s="72"/>
      <x:c r="M489" s="72"/>
      <x:c r="N489" s="72"/>
      <x:c r="O489" s="72"/>
      <x:c r="P489" s="72"/>
      <x:c r="Q489" s="72"/>
      <x:c r="R489" s="72"/>
      <x:c r="S489" s="73"/>
    </x:row>
    <x:row r="490">
      <x:c r="A490" s="81"/>
      <x:c r="B490" s="72"/>
      <x:c r="C490" s="72"/>
      <x:c r="D490" s="72"/>
      <x:c r="E490" s="72"/>
      <x:c r="F490" s="72"/>
      <x:c r="G490" s="72"/>
      <x:c r="H490" s="72"/>
      <x:c r="I490" s="72"/>
      <x:c r="J490" s="72"/>
      <x:c r="K490" s="72"/>
      <x:c r="L490" s="72"/>
      <x:c r="M490" s="72"/>
      <x:c r="N490" s="72"/>
      <x:c r="O490" s="72"/>
      <x:c r="P490" s="72"/>
      <x:c r="Q490" s="72"/>
      <x:c r="R490" s="72"/>
      <x:c r="S490" s="73"/>
    </x:row>
    <x:row r="491">
      <x:c r="A491" s="81"/>
      <x:c r="B491" s="72"/>
      <x:c r="C491" s="72"/>
      <x:c r="D491" s="72"/>
      <x:c r="E491" s="72"/>
      <x:c r="F491" s="72"/>
      <x:c r="G491" s="72"/>
      <x:c r="H491" s="72"/>
      <x:c r="I491" s="72"/>
      <x:c r="J491" s="72"/>
      <x:c r="K491" s="72"/>
      <x:c r="L491" s="72"/>
      <x:c r="M491" s="72"/>
      <x:c r="N491" s="72"/>
      <x:c r="O491" s="72"/>
      <x:c r="P491" s="72"/>
      <x:c r="Q491" s="72"/>
      <x:c r="R491" s="72"/>
      <x:c r="S491" s="73"/>
    </x:row>
    <x:row r="492">
      <x:c r="A492" s="81"/>
      <x:c r="B492" s="72"/>
      <x:c r="C492" s="72"/>
      <x:c r="D492" s="72"/>
      <x:c r="E492" s="72"/>
      <x:c r="F492" s="72"/>
      <x:c r="G492" s="72"/>
      <x:c r="H492" s="72"/>
      <x:c r="I492" s="72"/>
      <x:c r="J492" s="72"/>
      <x:c r="K492" s="72"/>
      <x:c r="L492" s="72"/>
      <x:c r="M492" s="72"/>
      <x:c r="N492" s="72"/>
      <x:c r="O492" s="72"/>
      <x:c r="P492" s="72"/>
      <x:c r="Q492" s="72"/>
      <x:c r="R492" s="72"/>
      <x:c r="S492" s="73"/>
    </x:row>
    <x:row r="493">
      <x:c r="A493" s="81"/>
      <x:c r="B493" s="72"/>
      <x:c r="C493" s="72"/>
      <x:c r="D493" s="72"/>
      <x:c r="E493" s="72"/>
      <x:c r="F493" s="72"/>
      <x:c r="G493" s="72"/>
      <x:c r="H493" s="72"/>
      <x:c r="I493" s="72"/>
      <x:c r="J493" s="72"/>
      <x:c r="K493" s="72"/>
      <x:c r="L493" s="72"/>
      <x:c r="M493" s="72"/>
      <x:c r="N493" s="72"/>
      <x:c r="O493" s="72"/>
      <x:c r="P493" s="72"/>
      <x:c r="Q493" s="72"/>
      <x:c r="R493" s="72"/>
      <x:c r="S493" s="73"/>
    </x:row>
    <x:row r="494">
      <x:c r="A494" s="81"/>
      <x:c r="B494" s="72"/>
      <x:c r="C494" s="72"/>
      <x:c r="D494" s="72"/>
      <x:c r="E494" s="72"/>
      <x:c r="F494" s="72"/>
      <x:c r="G494" s="72"/>
      <x:c r="H494" s="72"/>
      <x:c r="I494" s="72"/>
      <x:c r="J494" s="72"/>
      <x:c r="K494" s="72"/>
      <x:c r="L494" s="72"/>
      <x:c r="M494" s="72"/>
      <x:c r="N494" s="72"/>
      <x:c r="O494" s="72"/>
      <x:c r="P494" s="72"/>
      <x:c r="Q494" s="72"/>
      <x:c r="R494" s="72"/>
      <x:c r="S494" s="73"/>
    </x:row>
    <x:row r="495">
      <x:c r="A495" s="81"/>
      <x:c r="B495" s="72"/>
      <x:c r="C495" s="72"/>
      <x:c r="D495" s="72"/>
      <x:c r="E495" s="72"/>
      <x:c r="F495" s="72"/>
      <x:c r="G495" s="72"/>
      <x:c r="H495" s="72"/>
      <x:c r="I495" s="72"/>
      <x:c r="J495" s="72"/>
      <x:c r="K495" s="72"/>
      <x:c r="L495" s="72"/>
      <x:c r="M495" s="72"/>
      <x:c r="N495" s="72"/>
      <x:c r="O495" s="72"/>
      <x:c r="P495" s="72"/>
      <x:c r="Q495" s="72"/>
      <x:c r="R495" s="72"/>
      <x:c r="S495" s="73"/>
    </x:row>
    <x:row r="496">
      <x:c r="A496" s="81"/>
      <x:c r="B496" s="72"/>
      <x:c r="C496" s="72"/>
      <x:c r="D496" s="72"/>
      <x:c r="E496" s="72"/>
      <x:c r="F496" s="72"/>
      <x:c r="G496" s="72"/>
      <x:c r="H496" s="72"/>
      <x:c r="I496" s="72"/>
      <x:c r="J496" s="72"/>
      <x:c r="K496" s="72"/>
      <x:c r="L496" s="72"/>
      <x:c r="M496" s="72"/>
      <x:c r="N496" s="72"/>
      <x:c r="O496" s="72"/>
      <x:c r="P496" s="72"/>
      <x:c r="Q496" s="72"/>
      <x:c r="R496" s="72"/>
      <x:c r="S496" s="73"/>
    </x:row>
    <x:row r="497">
      <x:c r="A497" s="81"/>
      <x:c r="B497" s="72"/>
      <x:c r="C497" s="72"/>
      <x:c r="D497" s="72"/>
      <x:c r="E497" s="72"/>
      <x:c r="F497" s="72"/>
      <x:c r="G497" s="72"/>
      <x:c r="H497" s="72"/>
      <x:c r="I497" s="72"/>
      <x:c r="J497" s="72"/>
      <x:c r="K497" s="72"/>
      <x:c r="L497" s="72"/>
      <x:c r="M497" s="72"/>
      <x:c r="N497" s="72"/>
      <x:c r="O497" s="72"/>
      <x:c r="P497" s="72"/>
      <x:c r="Q497" s="72"/>
      <x:c r="R497" s="72"/>
      <x:c r="S497" s="73"/>
    </x:row>
    <x:row r="498">
      <x:c r="A498" s="81"/>
      <x:c r="B498" s="72"/>
      <x:c r="C498" s="72"/>
      <x:c r="D498" s="72"/>
      <x:c r="E498" s="72"/>
      <x:c r="F498" s="72"/>
      <x:c r="G498" s="72"/>
      <x:c r="H498" s="72"/>
      <x:c r="I498" s="72"/>
      <x:c r="J498" s="72"/>
      <x:c r="K498" s="72"/>
      <x:c r="L498" s="72"/>
      <x:c r="M498" s="72"/>
      <x:c r="N498" s="72"/>
      <x:c r="O498" s="72"/>
      <x:c r="P498" s="72"/>
      <x:c r="Q498" s="72"/>
      <x:c r="R498" s="72"/>
      <x:c r="S498" s="73"/>
    </x:row>
    <x:row r="499">
      <x:c r="A499" s="81"/>
      <x:c r="B499" s="72"/>
      <x:c r="C499" s="72"/>
      <x:c r="D499" s="72"/>
      <x:c r="E499" s="72"/>
      <x:c r="F499" s="72"/>
      <x:c r="G499" s="72"/>
      <x:c r="H499" s="72"/>
      <x:c r="I499" s="72"/>
      <x:c r="J499" s="72"/>
      <x:c r="K499" s="72"/>
      <x:c r="L499" s="72"/>
      <x:c r="M499" s="72"/>
      <x:c r="N499" s="72"/>
      <x:c r="O499" s="72"/>
      <x:c r="P499" s="72"/>
      <x:c r="Q499" s="72"/>
      <x:c r="R499" s="72"/>
      <x:c r="S499" s="73"/>
    </x:row>
    <x:row r="500">
      <x:c r="A500" s="81"/>
      <x:c r="B500" s="72"/>
      <x:c r="C500" s="72"/>
      <x:c r="D500" s="72"/>
      <x:c r="E500" s="72"/>
      <x:c r="F500" s="72"/>
      <x:c r="G500" s="72"/>
      <x:c r="H500" s="72"/>
      <x:c r="I500" s="72"/>
      <x:c r="J500" s="72"/>
      <x:c r="K500" s="72"/>
      <x:c r="L500" s="72"/>
      <x:c r="M500" s="72"/>
      <x:c r="N500" s="72"/>
      <x:c r="O500" s="72"/>
      <x:c r="P500" s="72"/>
      <x:c r="Q500" s="72"/>
      <x:c r="R500" s="72"/>
      <x:c r="S500" s="73"/>
    </x:row>
    <x:row r="501">
      <x:c r="A501" s="82"/>
      <x:c r="B501" s="83"/>
      <x:c r="C501" s="83"/>
      <x:c r="D501" s="83"/>
      <x:c r="E501" s="83"/>
      <x:c r="F501" s="83"/>
      <x:c r="G501" s="83"/>
      <x:c r="H501" s="83"/>
      <x:c r="I501" s="83"/>
      <x:c r="J501" s="83"/>
      <x:c r="K501" s="83"/>
      <x:c r="L501" s="83"/>
      <x:c r="M501" s="83"/>
      <x:c r="N501" s="83"/>
      <x:c r="O501" s="83"/>
      <x:c r="P501" s="83"/>
      <x:c r="Q501" s="83"/>
      <x:c r="R501" s="83"/>
      <x:c r="S501" s="84"/>
    </x:row>
  </x:sheetData>
  <x:mergeCells>
    <x:mergeCell ref="A1:D1"/>
    <x:mergeCell ref="A6:D40"/>
  </x:mergeCells>
  <x:pageMargins left="0.7" right="0.7" top="0.75" bottom="0.75" header="0.3" footer="0.3"/>
</x:worksheet>
</file>